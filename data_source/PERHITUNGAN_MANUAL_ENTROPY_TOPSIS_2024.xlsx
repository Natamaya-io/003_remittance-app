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42c46733048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DUAN" sheetId="1" r:id="R043d9749c4984f52"/>
    <x:sheet xmlns:r="http://schemas.openxmlformats.org/officeDocument/2006/relationships" name="AGREGAT_P1_P2" sheetId="2" r:id="Ra70bc823331d4d4d"/>
    <x:sheet xmlns:r="http://schemas.openxmlformats.org/officeDocument/2006/relationships" name="MATRIKS_X" sheetId="3" r:id="R1eeeca3aa5824f79"/>
    <x:sheet xmlns:r="http://schemas.openxmlformats.org/officeDocument/2006/relationships" name="ENTROPY" sheetId="4" r:id="R14d088caae184f82"/>
    <x:sheet xmlns:r="http://schemas.openxmlformats.org/officeDocument/2006/relationships" name="TOPSIS" sheetId="5" r:id="Re2b5958922c840cc"/>
    <x:sheet xmlns:r="http://schemas.openxmlformats.org/officeDocument/2006/relationships" name="RINGKASAN" sheetId="6" r:id="R175c4842c36c44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00000"/>
    <x:numFmt numFmtId="201" formatCode="0"/>
    <x:numFmt numFmtId="202" formatCode="0.000000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2B45"/>
      <x:name val="Carlito"/>
    </x:font>
    <x:font>
      <x:b/>
      <x:sz val="11"/>
      <x:color rgb="FFFFFFFF"/>
      <x:name val="Carlito"/>
    </x:font>
    <x:font>
      <x:b/>
      <x:sz val="11"/>
      <x:color rgb="FF087E8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87E80"/>
      </x:patternFill>
    </x:fill>
    <x:fill>
      <x:patternFill patternType="solid">
        <x:fgColor rgb="FFECF2FA"/>
      </x:patternFill>
    </x:fill>
    <x:fill>
      <x:patternFill patternType="solid">
        <x:fgColor rgb="FF142B45"/>
      </x:patternFill>
    </x:fill>
    <x:fill>
      <x:patternFill patternType="solid">
        <x:fgColor rgb="FFD8F3EA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3" fillId="4" borderId="0" xfId="0" applyNumberFormat="1" applyFont="1" applyFill="1" applyBorder="1" applyAlignment="1">
      <x:alignment vertical="center" wrapText="1"/>
    </x:xf>
    <x:xf numFmtId="20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200" fontId="0" fillId="3" borderId="1" xfId="0" applyNumberFormat="1" applyFont="1" applyFill="1" applyBorder="1"/>
    <x:xf numFmtId="201" fontId="0" fillId="3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9a976c6974cd1" /><Relationship Type="http://schemas.openxmlformats.org/officeDocument/2006/relationships/theme" Target="/xl/theme/theme1.xml" Id="R90842054476e4318" /><Relationship Type="http://schemas.openxmlformats.org/officeDocument/2006/relationships/sharedStrings" Target="/xl/sharedStrings.xml" Id="Re5be4b747a364c0d" /><Relationship Type="http://schemas.openxmlformats.org/officeDocument/2006/relationships/worksheet" Target="/xl/worksheets/sheet1.xml" Id="R043d9749c4984f52" /><Relationship Type="http://schemas.openxmlformats.org/officeDocument/2006/relationships/worksheet" Target="/xl/worksheets/sheet2.xml" Id="Ra70bc823331d4d4d" /><Relationship Type="http://schemas.openxmlformats.org/officeDocument/2006/relationships/worksheet" Target="/xl/worksheets/sheet3.xml" Id="R1eeeca3aa5824f79" /><Relationship Type="http://schemas.openxmlformats.org/officeDocument/2006/relationships/worksheet" Target="/xl/worksheets/sheet4.xml" Id="R14d088caae184f82" /><Relationship Type="http://schemas.openxmlformats.org/officeDocument/2006/relationships/worksheet" Target="/xl/worksheets/sheet5.xml" Id="Re2b5958922c840cc" /><Relationship Type="http://schemas.openxmlformats.org/officeDocument/2006/relationships/worksheet" Target="/xl/worksheets/sheet6.xml" Id="R175c4842c36c44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88365f219246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Skor Kedekatan TOPSIS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Preferensi TOPSIS</c:v>
          </c:tx>
          <c:cat>
            <c:strRef>
              <c:f>'RINGKASAN'!$A$6:$A$9</c:f>
              <c:strCache>
                <c:ptCount val="0"/>
              </c:strCache>
            </c:strRef>
          </c:cat>
          <c:val>
            <c:numRef>
              <c:f>'RINGKASAN'!$B$6:$B$9</c:f>
              <c:numCache>
                <c:formatCode>0.000000000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88365f2192464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af15db4c92f3473c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7" hidden="0" customWidth="1"/>
    <x:col min="2" max="2" width="111" hidden="0" customWidth="1"/>
  </x:cols>
  <x:sheetData>
    <x:row r="1" ht="34" customHeight="1">
      <x:c r="A1" s="3" t="str">
        <x:v>REFERENSI PERHITUNGAN MANUAL ENTROPY + TOPSIS</x:v>
      </x:c>
      <x:c r="B1" s="3"/>
    </x:row>
    <x:row r="4" ht="29" customHeight="1">
      <x:c r="A4" s="7" t="str">
        <x:v>STATUS</x:v>
      </x:c>
      <x:c r="B4" s="10" t="str">
        <x:v>Final hasil perhitungan ulang dari 2 file sumber; tidak memakai angka SQL lama atau override kriteria.</x:v>
      </x:c>
    </x:row>
    <x:row r="5" ht="29" customHeight="1">
      <x:c r="A5" s="7" t="str">
        <x:v>FILE 1</x:v>
      </x:c>
      <x:c r="B5" s="10" t="str">
        <x:v>2024 - REPORT SUKSES.xlsx -&gt; OLAH_DATA_REPORT_SUKSES_2024.xlsx</x:v>
      </x:c>
    </x:row>
    <x:row r="6" ht="29" customHeight="1">
      <x:c r="A6" s="7" t="str">
        <x:v>FILE 2</x:v>
      </x:c>
      <x:c r="B6" s="10" t="str">
        <x:v>actual LIST MT199 27.06 .xlsx -&gt; OLAH_DATA_ACTUAL_REFUND_2024.xlsx</x:v>
      </x:c>
    </x:row>
    <x:row r="7" ht="29" customHeight="1">
      <x:c r="A7" s="7" t="str">
        <x:v>APLIKASI</x:v>
      </x:c>
      <x:c r="B7" s="10" t="str">
        <x:v>Aturan parsing dan C1-C6 mengikuti SpkImportService.php serta SpkAnalysisService.php di aplikasi yang dikirim.</x:v>
      </x:c>
    </x:row>
    <x:row r="8" ht="29" customHeight="1">
      <x:c r="A8" s="7" t="str">
        <x:v>METODE</x:v>
      </x:c>
      <x:c r="B8" s="10" t="str">
        <x:v>Urutan normalisasi Entropy Kij -&gt; Aij -&gt; Ej -&gt; Dj -&gt; Wj, lalu TOPSIS R -&gt; Y -&gt; A+/- -&gt; D+/- -&gt; Vi.</x:v>
      </x:c>
    </x:row>
    <x:row r="9" ht="29" customHeight="1">
      <x:c r="A9" s="7" t="str">
        <x:v>PERIODE P1</x:v>
      </x:c>
      <x:c r="B9" s="10" t="str">
        <x:v>2024-09-01 s.d. 2024-10-31 (61 hari kalender).</x:v>
      </x:c>
    </x:row>
    <x:row r="10" ht="29" customHeight="1">
      <x:c r="A10" s="7" t="str">
        <x:v>PERIODE P2</x:v>
      </x:c>
      <x:c r="B10" s="10" t="str">
        <x:v>2024-11-01 s.d. 2024-12-31 (61 hari kalender).</x:v>
      </x:c>
    </x:row>
    <x:row r="11" ht="29" customHeight="1">
      <x:c r="A11" s="7" t="str">
        <x:v>ALTERNATIF</x:v>
      </x:c>
      <x:c r="B11" s="10" t="str">
        <x:v>Fable, Jurita, Gema, Kairos — urutan yang sama di seluruh tabel.</x:v>
      </x:c>
    </x:row>
    <x:row r="12" ht="29" customHeight="1">
      <x:c r="A12" s="7" t="str">
        <x:v>KRITERIA</x:v>
      </x:c>
      <x:c r="B12" s="10" t="str">
        <x:v>C1 pertumbuhan jumlah; C2 per hari aktif; C3 negara; C4 bank/SWIFT; C5 mata uang; C6 tanpa refund.</x:v>
      </x:c>
    </x:row>
    <x:row r="13" ht="29" customHeight="1">
      <x:c r="A13" s="7" t="str">
        <x:v>JENIS KRITERIA</x:v>
      </x:c>
      <x:c r="B13" s="10" t="str">
        <x:v>Semua C1-C6 bersifat BENEFIT, sesuai rancangan aplikasi/skripsi.</x:v>
      </x:c>
    </x:row>
    <x:row r="14" ht="29" customHeight="1">
      <x:c r="A14" s="7" t="str">
        <x:v>AGREGAT</x:v>
      </x:c>
      <x:c r="B14" s="10" t="str">
        <x:v>8 baris nilai olahan per perusahaan/periode; audit ke kolom flag unik di workbook transaksi.</x:v>
      </x:c>
    </x:row>
    <x:row r="15" ht="29" customHeight="1">
      <x:c r="A15" s="7" t="str">
        <x:v>MATRIKS_X</x:v>
      </x:c>
      <x:c r="B15" s="10" t="str">
        <x:v>Semua nilai Xij diperoleh dari rumus sel terhadap AGREGAT_P1_P2.</x:v>
      </x:c>
    </x:row>
    <x:row r="16" ht="29" customHeight="1">
      <x:c r="A16" s="7" t="str">
        <x:v>ENTROPY</x:v>
      </x:c>
      <x:c r="B16" s="10" t="str">
        <x:v>Menggunakan pembobotan Kij=Xij/max(Xj), Aij=Kij/sum(Kj), E=-sum(Aij ln Aij)/ln(4).</x:v>
      </x:c>
    </x:row>
    <x:row r="17" ht="29" customHeight="1">
      <x:c r="A17" s="7" t="str">
        <x:v>TOPSIS</x:v>
      </x:c>
      <x:c r="B17" s="10" t="str">
        <x:v>Menggunakan Rij=Xij/sqrt(sum Xj²); Yij=Rij*Wj; ideal manfaat=max/min; D+/D-; V=D-/(D++D-).</x:v>
      </x:c>
    </x:row>
    <x:row r="18" ht="29" customHeight="1">
      <x:c r="A18" s="7" t="str">
        <x:v>ANGKA</x:v>
      </x:c>
      <x:c r="B18" s="10" t="str">
        <x:v>Excel menyimpan presisi penuh; angka desimal pada layar hanyalah format.</x:v>
      </x:c>
    </x:row>
    <x:row r="19" ht="29" customHeight="1">
      <x:c r="A19" s="7" t="str">
        <x:v>CATATAN</x:v>
      </x:c>
      <x:c r="B19" s="10" t="str">
        <x:v>File perhitungan mandiri dari agregat yang dibekukan pada tanggal olah. Jika sumber berubah, regenerasi agregat diperlukan.</x:v>
      </x:c>
    </x:row>
    <x:row r="20" ht="29" customHeight="1">
      <x:c r="A20" s="7" t="str">
        <x:v>PRIVASI</x:v>
      </x:c>
      <x:c r="B20" s="10" t="str">
        <x:v>Detail identitas penerima, nomor rekening dan alamat tidak dibawa ke workbook manual.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9" hidden="0" customWidth="1"/>
    <x:col min="4" max="4" width="18" hidden="0" customWidth="1"/>
    <x:col min="5" max="5" width="20" hidden="0" customWidth="1"/>
    <x:col min="6" max="6" width="23" hidden="0" customWidth="1"/>
    <x:col min="7" max="7" width="20" hidden="0" customWidth="1"/>
    <x:col min="8" max="8" width="20" hidden="0" customWidth="1"/>
  </x:cols>
  <x:sheetData>
    <x:row r="1" ht="34" customHeight="1">
      <x:c r="A1" s="3" t="str">
        <x:v>INPUT TEROLAH: 8 KOMBINASI PERUSAHAAN × PERIODE</x:v>
      </x:c>
      <x:c r="B1" s="3"/>
      <x:c r="C1" s="3"/>
      <x:c r="D1" s="3"/>
      <x:c r="E1" s="3"/>
      <x:c r="F1" s="3"/>
      <x:c r="G1" s="3"/>
      <x:c r="H1" s="3"/>
    </x:row>
    <x:row r="4" ht="32" customHeight="1">
      <x:c r="A4" s="15" t="str">
        <x:v>Kode</x:v>
      </x:c>
      <x:c r="B4" s="15" t="str">
        <x:v>Periode</x:v>
      </x:c>
      <x:c r="C4" s="15" t="str">
        <x:v>Tx Sukses</x:v>
      </x:c>
      <x:c r="D4" s="15" t="str">
        <x:v>Hari Aktif</x:v>
      </x:c>
      <x:c r="E4" s="15" t="str">
        <x:v>Negara Unik</x:v>
      </x:c>
      <x:c r="F4" s="15" t="str">
        <x:v>Bank/SWIFT Unik</x:v>
      </x:c>
      <x:c r="G4" s="15" t="str">
        <x:v>Valuta Unik</x:v>
      </x:c>
      <x:c r="H4" s="15" t="str">
        <x:v>Refund Unik</x:v>
      </x:c>
    </x:row>
    <x:row r="5">
      <x:c r="A5" t="str">
        <x:v>FABLE</x:v>
      </x:c>
      <x:c r="B5" t="str">
        <x:v>P1</x:v>
      </x:c>
      <x:c r="C5" t="n">
        <x:v>1069</x:v>
      </x:c>
      <x:c r="D5" t="n">
        <x:v>32</x:v>
      </x:c>
      <x:c r="E5" t="n">
        <x:v>97</x:v>
      </x:c>
      <x:c r="F5" t="n">
        <x:v>416</x:v>
      </x:c>
      <x:c r="G5" t="n">
        <x:v>6</x:v>
      </x:c>
      <x:c r="H5" t="n">
        <x:v>71</x:v>
      </x:c>
    </x:row>
    <x:row r="6">
      <x:c r="A6" t="str">
        <x:v>FABLE</x:v>
      </x:c>
      <x:c r="B6" t="str">
        <x:v>P2</x:v>
      </x:c>
      <x:c r="C6" t="n">
        <x:v>1375</x:v>
      </x:c>
      <x:c r="D6" t="n">
        <x:v>39</x:v>
      </x:c>
      <x:c r="E6" t="n">
        <x:v>116</x:v>
      </x:c>
      <x:c r="F6" t="n">
        <x:v>514</x:v>
      </x:c>
      <x:c r="G6" t="n">
        <x:v>6</x:v>
      </x:c>
      <x:c r="H6" t="n">
        <x:v>43</x:v>
      </x:c>
    </x:row>
    <x:row r="7">
      <x:c r="A7" t="str">
        <x:v>JURITA</x:v>
      </x:c>
      <x:c r="B7" t="str">
        <x:v>P1</x:v>
      </x:c>
      <x:c r="C7" t="n">
        <x:v>162</x:v>
      </x:c>
      <x:c r="D7" t="n">
        <x:v>22</x:v>
      </x:c>
      <x:c r="E7" t="n">
        <x:v>24</x:v>
      </x:c>
      <x:c r="F7" t="n">
        <x:v>80</x:v>
      </x:c>
      <x:c r="G7" t="n">
        <x:v>3</x:v>
      </x:c>
      <x:c r="H7" t="n">
        <x:v>15</x:v>
      </x:c>
    </x:row>
    <x:row r="8">
      <x:c r="A8" t="str">
        <x:v>JURITA</x:v>
      </x:c>
      <x:c r="B8" t="str">
        <x:v>P2</x:v>
      </x:c>
      <x:c r="C8" t="n">
        <x:v>417</x:v>
      </x:c>
      <x:c r="D8" t="n">
        <x:v>38</x:v>
      </x:c>
      <x:c r="E8" t="n">
        <x:v>29</x:v>
      </x:c>
      <x:c r="F8" t="n">
        <x:v>157</x:v>
      </x:c>
      <x:c r="G8" t="n">
        <x:v>3</x:v>
      </x:c>
      <x:c r="H8" t="n">
        <x:v>19</x:v>
      </x:c>
    </x:row>
    <x:row r="9">
      <x:c r="A9" t="str">
        <x:v>GSB</x:v>
      </x:c>
      <x:c r="B9" t="str">
        <x:v>P1</x:v>
      </x:c>
      <x:c r="C9" t="n">
        <x:v>172</x:v>
      </x:c>
      <x:c r="D9" t="n">
        <x:v>26</x:v>
      </x:c>
      <x:c r="E9" t="n">
        <x:v>26</x:v>
      </x:c>
      <x:c r="F9" t="n">
        <x:v>102</x:v>
      </x:c>
      <x:c r="G9" t="n">
        <x:v>4</x:v>
      </x:c>
      <x:c r="H9" t="n">
        <x:v>13</x:v>
      </x:c>
    </x:row>
    <x:row r="10">
      <x:c r="A10" t="str">
        <x:v>GSB</x:v>
      </x:c>
      <x:c r="B10" t="str">
        <x:v>P2</x:v>
      </x:c>
      <x:c r="C10" t="n">
        <x:v>203</x:v>
      </x:c>
      <x:c r="D10" t="n">
        <x:v>39</x:v>
      </x:c>
      <x:c r="E10" t="n">
        <x:v>30</x:v>
      </x:c>
      <x:c r="F10" t="n">
        <x:v>118</x:v>
      </x:c>
      <x:c r="G10" t="n">
        <x:v>3</x:v>
      </x:c>
      <x:c r="H10" t="n">
        <x:v>11</x:v>
      </x:c>
    </x:row>
    <x:row r="11">
      <x:c r="A11" t="str">
        <x:v>KAIROS</x:v>
      </x:c>
      <x:c r="B11" t="str">
        <x:v>P1</x:v>
      </x:c>
      <x:c r="C11" t="n">
        <x:v>32</x:v>
      </x:c>
      <x:c r="D11" t="n">
        <x:v>15</x:v>
      </x:c>
      <x:c r="E11" t="n">
        <x:v>9</x:v>
      </x:c>
      <x:c r="F11" t="n">
        <x:v>16</x:v>
      </x:c>
      <x:c r="G11" t="n">
        <x:v>3</x:v>
      </x:c>
      <x:c r="H11" t="n">
        <x:v>2</x:v>
      </x:c>
    </x:row>
    <x:row r="12">
      <x:c r="A12" t="str">
        <x:v>KAIROS</x:v>
      </x:c>
      <x:c r="B12" t="str">
        <x:v>P2</x:v>
      </x:c>
      <x:c r="C12" t="n">
        <x:v>43</x:v>
      </x:c>
      <x:c r="D12" t="n">
        <x:v>17</x:v>
      </x:c>
      <x:c r="E12" t="n">
        <x:v>8</x:v>
      </x:c>
      <x:c r="F12" t="n">
        <x:v>17</x:v>
      </x:c>
      <x:c r="G12" t="n">
        <x:v>3</x:v>
      </x:c>
      <x:c r="H12" t="n">
        <x:v>0</x:v>
      </x:c>
    </x:row>
    <x:row r="15">
      <x:c r="A15" t="str">
        <x:v>SUMBER: report = 3.473 transaksi terpilih; actual = 174 refund terpilih. Semua agregat mengikuti kode aplikasi.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21" hidden="0" customWidth="1"/>
    <x:col min="3" max="3" width="23" hidden="0" customWidth="1"/>
    <x:col min="4" max="4" width="21" hidden="0" customWidth="1"/>
    <x:col min="5" max="5" width="21" hidden="0" customWidth="1"/>
    <x:col min="6" max="6" width="21" hidden="0" customWidth="1"/>
    <x:col min="7" max="7" width="24" hidden="0" customWidth="1"/>
  </x:cols>
  <x:sheetData>
    <x:row r="1" ht="34" customHeight="1">
      <x:c r="A1" s="3" t="str">
        <x:v>MATRIKS KEPUTUSAN X = [Xij]</x:v>
      </x:c>
      <x:c r="B1" s="3"/>
      <x:c r="C1" s="3"/>
      <x:c r="D1" s="3"/>
      <x:c r="E1" s="3"/>
      <x:c r="F1" s="3"/>
      <x:c r="G1" s="3"/>
    </x:row>
    <x:row r="5" ht="32" customHeight="1">
      <x:c r="A5" s="15" t="str">
        <x:v>Alternatif</x:v>
      </x:c>
      <x:c r="B5" s="15" t="str">
        <x:v>C1: Tx</x:v>
      </x:c>
      <x:c r="C5" s="15" t="str">
        <x:v>C2: Tx/Hari</x:v>
      </x:c>
      <x:c r="D5" s="15" t="str">
        <x:v>C3: Negara</x:v>
      </x:c>
      <x:c r="E5" s="15" t="str">
        <x:v>C4: Bank</x:v>
      </x:c>
      <x:c r="F5" s="15" t="str">
        <x:v>C5: Valuta</x:v>
      </x:c>
      <x:c r="G5" s="15" t="str">
        <x:v>C6: Tanpa Refund</x:v>
      </x:c>
    </x:row>
    <x:row r="6">
      <x:c r="A6" t="str">
        <x:v>PT Fable Teknologi Nusantara</x:v>
      </x:c>
      <x:c r="B6" s="20" t="n">
        <x:f>AGREGAT_P1_P2!C6/AGREGAT_P1_P2!C5</x:f>
        <x:v>1.2862488306828812</x:v>
      </x:c>
      <x:c r="C6" s="20" t="n">
        <x:f>(AGREGAT_P1_P2!C6/AGREGAT_P1_P2!D6)/(AGREGAT_P1_P2!C5/AGREGAT_P1_P2!D5)</x:f>
        <x:v>1.0553836559449281</x:v>
      </x:c>
      <x:c r="D6" s="20" t="n">
        <x:f>AGREGAT_P1_P2!E6/AGREGAT_P1_P2!E5</x:f>
        <x:v>1.1958762886597938</x:v>
      </x:c>
      <x:c r="E6" s="20" t="n">
        <x:f>AGREGAT_P1_P2!F6/AGREGAT_P1_P2!F5</x:f>
        <x:v>1.2355769230769231</x:v>
      </x:c>
      <x:c r="F6" s="20" t="n">
        <x:f>AGREGAT_P1_P2!G6/AGREGAT_P1_P2!G5</x:f>
        <x:v>1</x:v>
      </x:c>
      <x:c r="G6" s="20" t="n">
        <x:f>MAX(0,MIN(1,1-AGREGAT_P1_P2!H6/AGREGAT_P1_P2!C6))</x:f>
        <x:v>0.9687272727272728</x:v>
      </x:c>
    </x:row>
    <x:row r="7">
      <x:c r="A7" t="str">
        <x:v>PT Jurita Agrotama Indonesia</x:v>
      </x:c>
      <x:c r="B7" s="20" t="n">
        <x:f>AGREGAT_P1_P2!C8/AGREGAT_P1_P2!C7</x:f>
        <x:v>2.574074074074074</x:v>
      </x:c>
      <x:c r="C7" s="20" t="n">
        <x:f>(AGREGAT_P1_P2!C8/AGREGAT_P1_P2!D8)/(AGREGAT_P1_P2!C7/AGREGAT_P1_P2!D7)</x:f>
        <x:v>1.4902534113060428</x:v>
      </x:c>
      <x:c r="D7" s="20" t="n">
        <x:f>AGREGAT_P1_P2!E8/AGREGAT_P1_P2!E7</x:f>
        <x:v>1.2083333333333333</x:v>
      </x:c>
      <x:c r="E7" s="20" t="n">
        <x:f>AGREGAT_P1_P2!F8/AGREGAT_P1_P2!F7</x:f>
        <x:v>1.9625</x:v>
      </x:c>
      <x:c r="F7" s="20" t="n">
        <x:f>AGREGAT_P1_P2!G8/AGREGAT_P1_P2!G7</x:f>
        <x:v>1</x:v>
      </x:c>
      <x:c r="G7" s="20" t="n">
        <x:f>MAX(0,MIN(1,1-AGREGAT_P1_P2!H8/AGREGAT_P1_P2!C8))</x:f>
        <x:v>0.9544364508393285</x:v>
      </x:c>
    </x:row>
    <x:row r="8">
      <x:c r="A8" t="str">
        <x:v>PT Gema Sapta Bintang</x:v>
      </x:c>
      <x:c r="B8" s="20" t="n">
        <x:f>AGREGAT_P1_P2!C10/AGREGAT_P1_P2!C9</x:f>
        <x:v>1.180232558139535</x:v>
      </x:c>
      <x:c r="C8" s="20" t="n">
        <x:f>(AGREGAT_P1_P2!C10/AGREGAT_P1_P2!D10)/(AGREGAT_P1_P2!C9/AGREGAT_P1_P2!D9)</x:f>
        <x:v>0.7868217054263567</x:v>
      </x:c>
      <x:c r="D8" s="20" t="n">
        <x:f>AGREGAT_P1_P2!E10/AGREGAT_P1_P2!E9</x:f>
        <x:v>1.1538461538461537</x:v>
      </x:c>
      <x:c r="E8" s="20" t="n">
        <x:f>AGREGAT_P1_P2!F10/AGREGAT_P1_P2!F9</x:f>
        <x:v>1.1568627450980393</x:v>
      </x:c>
      <x:c r="F8" s="20" t="n">
        <x:f>AGREGAT_P1_P2!G10/AGREGAT_P1_P2!G9</x:f>
        <x:v>0.75</x:v>
      </x:c>
      <x:c r="G8" s="20" t="n">
        <x:f>MAX(0,MIN(1,1-AGREGAT_P1_P2!H10/AGREGAT_P1_P2!C10))</x:f>
        <x:v>0.9458128078817734</x:v>
      </x:c>
    </x:row>
    <x:row r="9">
      <x:c r="A9" t="str">
        <x:v>PT Kairos Sinergi Indonesia</x:v>
      </x:c>
      <x:c r="B9" s="20" t="n">
        <x:f>AGREGAT_P1_P2!C12/AGREGAT_P1_P2!C11</x:f>
        <x:v>1.34375</x:v>
      </x:c>
      <x:c r="C9" s="20" t="n">
        <x:f>(AGREGAT_P1_P2!C12/AGREGAT_P1_P2!D12)/(AGREGAT_P1_P2!C11/AGREGAT_P1_P2!D11)</x:f>
        <x:v>1.1856617647058822</x:v>
      </x:c>
      <x:c r="D9" s="20" t="n">
        <x:f>AGREGAT_P1_P2!E12/AGREGAT_P1_P2!E11</x:f>
        <x:v>0.8888888888888888</x:v>
      </x:c>
      <x:c r="E9" s="20" t="n">
        <x:f>AGREGAT_P1_P2!F12/AGREGAT_P1_P2!F11</x:f>
        <x:v>1.0625</x:v>
      </x:c>
      <x:c r="F9" s="20" t="n">
        <x:f>AGREGAT_P1_P2!G12/AGREGAT_P1_P2!G11</x:f>
        <x:v>1</x:v>
      </x:c>
      <x:c r="G9" s="20" t="n">
        <x:f>MAX(0,MIN(1,1-AGREGAT_P1_P2!H12/AGREGAT_P1_P2!C12))</x:f>
        <x:v>1</x:v>
      </x:c>
    </x:row>
    <x:row r="12">
      <x:c r="A12" t="str">
        <x:v>Sifat kriteria</x:v>
      </x:c>
      <x:c r="B12" t="str">
        <x:v>BENEFIT</x:v>
      </x:c>
      <x:c r="C12" t="str">
        <x:v>BENEFIT</x:v>
      </x:c>
      <x:c r="D12" t="str">
        <x:v>BENEFIT</x:v>
      </x:c>
      <x:c r="E12" t="str">
        <x:v>BENEFIT</x:v>
      </x:c>
      <x:c r="F12" t="str">
        <x:v>BENEFIT</x:v>
      </x:c>
      <x:c r="G12" t="str">
        <x:v>BENEFIT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34" customHeight="1">
      <x:c r="A1" s="3" t="str">
        <x:v>PERHITUNGAN ENTROPY (BERURUTAN)</x:v>
      </x:c>
      <x:c r="B1" s="3"/>
      <x:c r="C1" s="3"/>
      <x:c r="D1" s="3"/>
      <x:c r="E1" s="3"/>
      <x:c r="F1" s="3"/>
      <x:c r="G1" s="3"/>
    </x:row>
    <x:row r="5" ht="32" customHeight="1">
      <x:c r="A5" s="15" t="str">
        <x:v>1. Kij = Xij / max(Xj)</x:v>
      </x:c>
      <x:c r="B5" s="15" t="str">
        <x:v>C1</x:v>
      </x:c>
      <x:c r="C5" s="15" t="str">
        <x:v>C2</x:v>
      </x:c>
      <x:c r="D5" s="15" t="str">
        <x:v>C3</x:v>
      </x:c>
      <x:c r="E5" s="15" t="str">
        <x:v>C4</x:v>
      </x:c>
      <x:c r="F5" s="15" t="str">
        <x:v>C5</x:v>
      </x:c>
      <x:c r="G5" s="15" t="str">
        <x:v>C6</x:v>
      </x:c>
    </x:row>
    <x:row r="6">
      <x:c r="A6" t="str">
        <x:v>PT Fable Teknologi Nusantara</x:v>
      </x:c>
      <x:c r="B6" s="20" t="n">
        <x:f>MATRIKS_X!B6/MAX(MATRIKS_X!B$6:B$9)</x:f>
        <x:v>0.49969379033723443</x:v>
      </x:c>
      <x:c r="C6" s="20" t="n">
        <x:f>MATRIKS_X!C6/MAX(MATRIKS_X!C$6:C$9)</x:f>
        <x:v>0.7081907331585979</x:v>
      </x:c>
      <x:c r="D6" s="20" t="n">
        <x:f>MATRIKS_X!D6/MAX(MATRIKS_X!D$6:D$9)</x:f>
        <x:v>0.9896907216494846</x:v>
      </x:c>
      <x:c r="E6" s="20" t="n">
        <x:f>MATRIKS_X!E6/MAX(MATRIKS_X!E$6:E$9)</x:f>
        <x:v>0.6295933365997061</x:v>
      </x:c>
      <x:c r="F6" s="20" t="n">
        <x:f>MATRIKS_X!F6/MAX(MATRIKS_X!F$6:F$9)</x:f>
        <x:v>1</x:v>
      </x:c>
      <x:c r="G6" s="20" t="n">
        <x:f>MATRIKS_X!G6/MAX(MATRIKS_X!G$6:G$9)</x:f>
        <x:v>0.9687272727272728</x:v>
      </x:c>
    </x:row>
    <x:row r="7">
      <x:c r="A7" t="str">
        <x:v>PT Jurita Agrotama Indonesia</x:v>
      </x:c>
      <x:c r="B7" s="20" t="n">
        <x:f>MATRIKS_X!B7/MAX(MATRIKS_X!B$6:B$9)</x:f>
        <x:v>1</x:v>
      </x:c>
      <x:c r="C7" s="20" t="n">
        <x:f>MATRIKS_X!C7/MAX(MATRIKS_X!C$6:C$9)</x:f>
        <x:v>1</x:v>
      </x:c>
      <x:c r="D7" s="20" t="n">
        <x:f>MATRIKS_X!D7/MAX(MATRIKS_X!D$6:D$9)</x:f>
        <x:v>1</x:v>
      </x:c>
      <x:c r="E7" s="20" t="n">
        <x:f>MATRIKS_X!E7/MAX(MATRIKS_X!E$6:E$9)</x:f>
        <x:v>1</x:v>
      </x:c>
      <x:c r="F7" s="20" t="n">
        <x:f>MATRIKS_X!F7/MAX(MATRIKS_X!F$6:F$9)</x:f>
        <x:v>1</x:v>
      </x:c>
      <x:c r="G7" s="20" t="n">
        <x:f>MATRIKS_X!G7/MAX(MATRIKS_X!G$6:G$9)</x:f>
        <x:v>0.9544364508393285</x:v>
      </x:c>
    </x:row>
    <x:row r="8">
      <x:c r="A8" t="str">
        <x:v>PT Gema Sapta Bintang</x:v>
      </x:c>
      <x:c r="B8" s="20" t="n">
        <x:f>MATRIKS_X!B8/MAX(MATRIKS_X!B$6:B$9)</x:f>
        <x:v>0.4585076125146395</x:v>
      </x:c>
      <x:c r="C8" s="20" t="n">
        <x:f>MATRIKS_X!C8/MAX(MATRIKS_X!C$6:C$9)</x:f>
        <x:v>0.5279784628956455</x:v>
      </x:c>
      <x:c r="D8" s="20" t="n">
        <x:f>MATRIKS_X!D8/MAX(MATRIKS_X!D$6:D$9)</x:f>
        <x:v>0.9549071618037135</x:v>
      </x:c>
      <x:c r="E8" s="20" t="n">
        <x:f>MATRIKS_X!E8/MAX(MATRIKS_X!E$6:E$9)</x:f>
        <x:v>0.5894842013238417</x:v>
      </x:c>
      <x:c r="F8" s="20" t="n">
        <x:f>MATRIKS_X!F8/MAX(MATRIKS_X!F$6:F$9)</x:f>
        <x:v>0.75</x:v>
      </x:c>
      <x:c r="G8" s="20" t="n">
        <x:f>MATRIKS_X!G8/MAX(MATRIKS_X!G$6:G$9)</x:f>
        <x:v>0.9458128078817734</x:v>
      </x:c>
    </x:row>
    <x:row r="9">
      <x:c r="A9" t="str">
        <x:v>PT Kairos Sinergi Indonesia</x:v>
      </x:c>
      <x:c r="B9" s="20" t="n">
        <x:f>MATRIKS_X!B9/MAX(MATRIKS_X!B$6:B$9)</x:f>
        <x:v>0.5220323741007195</x:v>
      </x:c>
      <x:c r="C9" s="20" t="n">
        <x:f>MATRIKS_X!C9/MAX(MATRIKS_X!C$6:C$9)</x:f>
        <x:v>0.795610837533182</x:v>
      </x:c>
      <x:c r="D9" s="20" t="n">
        <x:f>MATRIKS_X!D9/MAX(MATRIKS_X!D$6:D$9)</x:f>
        <x:v>0.735632183908046</x:v>
      </x:c>
      <x:c r="E9" s="20" t="n">
        <x:f>MATRIKS_X!E9/MAX(MATRIKS_X!E$6:E$9)</x:f>
        <x:v>0.5414012738853503</x:v>
      </x:c>
      <x:c r="F9" s="20" t="n">
        <x:f>MATRIKS_X!F9/MAX(MATRIKS_X!F$6:F$9)</x:f>
        <x:v>1</x:v>
      </x:c>
      <x:c r="G9" s="20" t="n">
        <x:f>MATRIKS_X!G9/MAX(MATRIKS_X!G$6:G$9)</x:f>
        <x:v>1</x:v>
      </x:c>
    </x:row>
    <x:row r="10">
      <x:c r="B10" s="20"/>
      <x:c r="C10" s="20"/>
      <x:c r="D10" s="20"/>
      <x:c r="E10" s="20"/>
      <x:c r="F10" s="20"/>
      <x:c r="G10" s="20"/>
    </x:row>
    <x:row r="11">
      <x:c r="A11" t="str">
        <x:v>Jumlah Kij</x:v>
      </x:c>
      <x:c r="B11" s="20" t="n">
        <x:f>SUM(B6:B9)</x:f>
        <x:v>2.4802337769525935</x:v>
      </x:c>
      <x:c r="C11" s="20" t="n">
        <x:f>SUM(C6:C9)</x:f>
        <x:v>3.031780033587425</x:v>
      </x:c>
      <x:c r="D11" s="20" t="n">
        <x:f>SUM(D6:D9)</x:f>
        <x:v>3.680230067361244</x:v>
      </x:c>
      <x:c r="E11" s="20" t="n">
        <x:f>SUM(E6:E9)</x:f>
        <x:v>2.7604788118088983</x:v>
      </x:c>
      <x:c r="F11" s="20" t="n">
        <x:f>SUM(F6:F9)</x:f>
        <x:v>3.75</x:v>
      </x:c>
      <x:c r="G11" s="20" t="n">
        <x:f>SUM(G6:G9)</x:f>
        <x:v>3.8689765314483746</x:v>
      </x:c>
    </x:row>
    <x:row r="12">
      <x:c r="B12" s="20"/>
      <x:c r="C12" s="20"/>
      <x:c r="D12" s="20"/>
      <x:c r="E12" s="20"/>
      <x:c r="F12" s="20"/>
      <x:c r="G12" s="20"/>
    </x:row>
    <x:row r="13">
      <x:c r="B13" s="20"/>
      <x:c r="C13" s="20"/>
      <x:c r="D13" s="20"/>
      <x:c r="E13" s="20"/>
      <x:c r="F13" s="20"/>
      <x:c r="G13" s="20"/>
    </x:row>
    <x:row r="14" ht="32" customHeight="1">
      <x:c r="A14" s="15" t="str">
        <x:v>2. Aij = Kij / SUM(Kj)</x:v>
      </x:c>
      <x:c r="B14" s="22" t="str">
        <x:v>C1</x:v>
      </x:c>
      <x:c r="C14" s="22" t="str">
        <x:v>C2</x:v>
      </x:c>
      <x:c r="D14" s="22" t="str">
        <x:v>C3</x:v>
      </x:c>
      <x:c r="E14" s="22" t="str">
        <x:v>C4</x:v>
      </x:c>
      <x:c r="F14" s="22" t="str">
        <x:v>C5</x:v>
      </x:c>
      <x:c r="G14" s="22" t="str">
        <x:v>C6</x:v>
      </x:c>
    </x:row>
    <x:row r="15">
      <x:c r="A15" t="str">
        <x:v>PT Fable Teknologi Nusantara</x:v>
      </x:c>
      <x:c r="B15" s="20" t="n">
        <x:f>B6/B$11</x:f>
        <x:v>0.20147043999666708</x:v>
      </x:c>
      <x:c r="C15" s="20" t="n">
        <x:f>C6/C$11</x:f>
        <x:v>0.23358908803176415</x:v>
      </x:c>
      <x:c r="D15" s="20" t="n">
        <x:f>D6/D$11</x:f>
        <x:v>0.2689208836226647</x:v>
      </x:c>
      <x:c r="E15" s="20" t="n">
        <x:f>E6/E$11</x:f>
        <x:v>0.22807396090359536</x:v>
      </x:c>
      <x:c r="F15" s="20" t="n">
        <x:f>F6/F$11</x:f>
        <x:v>0.26666666666666666</x:v>
      </x:c>
      <x:c r="G15" s="20" t="n">
        <x:f>G6/G$11</x:f>
        <x:v>0.2503833416546013</x:v>
      </x:c>
    </x:row>
    <x:row r="16">
      <x:c r="A16" t="str">
        <x:v>PT Jurita Agrotama Indonesia</x:v>
      </x:c>
      <x:c r="B16" s="20" t="n">
        <x:f>B7/B$11</x:f>
        <x:v>0.4031877999938688</x:v>
      </x:c>
      <x:c r="C16" s="20" t="n">
        <x:f>C7/C$11</x:f>
        <x:v>0.3298392327020923</x:v>
      </x:c>
      <x:c r="D16" s="20" t="n">
        <x:f>D7/D$11</x:f>
        <x:v>0.27172214282706747</x:v>
      </x:c>
      <x:c r="E16" s="20" t="n">
        <x:f>E7/E$11</x:f>
        <x:v>0.36225599548967946</x:v>
      </x:c>
      <x:c r="F16" s="20" t="n">
        <x:f>F7/F$11</x:f>
        <x:v>0.26666666666666666</x:v>
      </x:c>
      <x:c r="G16" s="20" t="n">
        <x:f>G7/G$11</x:f>
        <x:v>0.24668964597777734</x:v>
      </x:c>
    </x:row>
    <x:row r="17">
      <x:c r="A17" t="str">
        <x:v>PT Gema Sapta Bintang</x:v>
      </x:c>
      <x:c r="B17" s="20" t="n">
        <x:f>B8/B$11</x:f>
        <x:v>0.18486467557021877</x:v>
      </x:c>
      <x:c r="C17" s="20" t="n">
        <x:f>C8/C$11</x:f>
        <x:v>0.17414801108472985</x:v>
      </x:c>
      <x:c r="D17" s="20" t="n">
        <x:f>D8/D$11</x:f>
        <x:v>0.2594694202062182</x:v>
      </x:c>
      <x:c r="E17" s="20" t="n">
        <x:f>E8/E$11</x:f>
        <x:v>0.2135441861760069</x:v>
      </x:c>
      <x:c r="F17" s="20" t="n">
        <x:f>F8/F$11</x:f>
        <x:v>0.2</x:v>
      </x:c>
      <x:c r="G17" s="20" t="n">
        <x:f>G8/G$11</x:f>
        <x:v>0.24446072499894506</x:v>
      </x:c>
    </x:row>
    <x:row r="18">
      <x:c r="A18" t="str">
        <x:v>PT Kairos Sinergi Indonesia</x:v>
      </x:c>
      <x:c r="B18" s="20" t="n">
        <x:f>B9/B$11</x:f>
        <x:v>0.21047708443924534</x:v>
      </x:c>
      <x:c r="C18" s="20" t="n">
        <x:f>C9/C$11</x:f>
        <x:v>0.26242366818141377</x:v>
      </x:c>
      <x:c r="D18" s="20" t="n">
        <x:f>D9/D$11</x:f>
        <x:v>0.19988755334404962</x:v>
      </x:c>
      <x:c r="E18" s="20" t="n">
        <x:f>E9/E$11</x:f>
        <x:v>0.19612585743071817</x:v>
      </x:c>
      <x:c r="F18" s="20" t="n">
        <x:f>F9/F$11</x:f>
        <x:v>0.26666666666666666</x:v>
      </x:c>
      <x:c r="G18" s="20" t="n">
        <x:f>G9/G$11</x:f>
        <x:v>0.2584662873686763</x:v>
      </x:c>
    </x:row>
    <x:row r="19">
      <x:c r="B19" s="20"/>
      <x:c r="C19" s="20"/>
      <x:c r="D19" s="20"/>
      <x:c r="E19" s="20"/>
      <x:c r="F19" s="20"/>
      <x:c r="G19" s="20"/>
    </x:row>
    <x:row r="20">
      <x:c r="B20" s="20"/>
      <x:c r="C20" s="20"/>
      <x:c r="D20" s="20"/>
      <x:c r="E20" s="20"/>
      <x:c r="F20" s="20"/>
      <x:c r="G20" s="20"/>
    </x:row>
    <x:row r="21" ht="32" customHeight="1">
      <x:c r="A21" s="15" t="str">
        <x:v>3. Nilai -Aij × ln(Aij)</x:v>
      </x:c>
      <x:c r="B21" s="22" t="str">
        <x:v>C1</x:v>
      </x:c>
      <x:c r="C21" s="22" t="str">
        <x:v>C2</x:v>
      </x:c>
      <x:c r="D21" s="22" t="str">
        <x:v>C3</x:v>
      </x:c>
      <x:c r="E21" s="22" t="str">
        <x:v>C4</x:v>
      </x:c>
      <x:c r="F21" s="22" t="str">
        <x:v>C5</x:v>
      </x:c>
      <x:c r="G21" s="22" t="str">
        <x:v>C6</x:v>
      </x:c>
    </x:row>
    <x:row r="22">
      <x:c r="A22" t="str">
        <x:v>PT Fable Teknologi Nusantara</x:v>
      </x:c>
      <x:c r="B22" s="20" t="n">
        <x:f>IF(B15&gt;0,-B15*LN(B15),0)</x:f>
        <x:v>0.3227783320832049</x:v>
      </x:c>
      <x:c r="C22" s="20" t="n">
        <x:f>IF(C15&gt;0,-C15*LN(C15),0)</x:f>
        <x:v>0.3396833226763707</x:v>
      </x:c>
      <x:c r="D22" s="20" t="n">
        <x:f>IF(D15&gt;0,-D15*LN(D15),0)</x:f>
        <x:v>0.35318403039831886</x:v>
      </x:c>
      <x:c r="E22" s="20" t="n">
        <x:f>IF(E15&gt;0,-E15*LN(E15),0)</x:f>
        <x:v>0.3371127718215304</x:v>
      </x:c>
      <x:c r="F22" s="20" t="n">
        <x:f>IF(F15&gt;0,-F15*LN(F15),0)</x:f>
        <x:v>0.3524682239952852</x:v>
      </x:c>
      <x:c r="G22" s="20" t="n">
        <x:f>IF(G15&gt;0,-G15*LN(G15),0)</x:f>
        <x:v>0.3467213792479838</x:v>
      </x:c>
    </x:row>
    <x:row r="23">
      <x:c r="A23" t="str">
        <x:v>PT Jurita Agrotama Indonesia</x:v>
      </x:c>
      <x:c r="B23" s="20" t="n">
        <x:f>IF(B16&gt;0,-B16*LN(B16),0)</x:f>
        <x:v>0.3662367753698387</x:v>
      </x:c>
      <x:c r="C23" s="20" t="n">
        <x:f>IF(C16&gt;0,-C16*LN(C16),0)</x:f>
        <x:v>0.3658411575284488</x:v>
      </x:c>
      <x:c r="D23" s="20" t="n">
        <x:f>IF(D16&gt;0,-D16*LN(D16),0)</x:f>
        <x:v>0.3540472320160087</x:v>
      </x:c>
      <x:c r="E23" s="20" t="n">
        <x:f>IF(E16&gt;0,-E16*LN(E16),0)</x:f>
        <x:v>0.3678362401763122</x:v>
      </x:c>
      <x:c r="F23" s="20" t="n">
        <x:f>IF(F16&gt;0,-F16*LN(F16),0)</x:f>
        <x:v>0.3524682239952852</x:v>
      </x:c>
      <x:c r="G23" s="20" t="n">
        <x:f>IF(G16&gt;0,-G16*LN(G16),0)</x:f>
        <x:v>0.34527280491789664</x:v>
      </x:c>
    </x:row>
    <x:row r="24">
      <x:c r="A24" t="str">
        <x:v>PT Gema Sapta Bintang</x:v>
      </x:c>
      <x:c r="B24" s="20" t="n">
        <x:f>IF(B17&gt;0,-B17*LN(B17),0)</x:f>
        <x:v>0.31207582752721413</x:v>
      </x:c>
      <x:c r="C24" s="20" t="n">
        <x:f>IF(C17&gt;0,-C17*LN(C17),0)</x:f>
        <x:v>0.3043845494415911</x:v>
      </x:c>
      <x:c r="D24" s="20" t="n">
        <x:f>IF(D17&gt;0,-D17*LN(D17),0)</x:f>
        <x:v>0.3500544564632758</x:v>
      </x:c>
      <x:c r="E24" s="20" t="n">
        <x:f>IF(E17&gt;0,-E17*LN(E17),0)</x:f>
        <x:v>0.3296933262292682</x:v>
      </x:c>
      <x:c r="F24" s="20" t="n">
        <x:f>IF(F17&gt;0,-F17*LN(F17),0)</x:f>
        <x:v>0.3218875824868201</x:v>
      </x:c>
      <x:c r="G24" s="20" t="n">
        <x:f>IF(G17&gt;0,-G17*LN(G17),0)</x:f>
        <x:v>0.34437197411905934</x:v>
      </x:c>
    </x:row>
    <x:row r="25">
      <x:c r="A25" t="str">
        <x:v>PT Kairos Sinergi Indonesia</x:v>
      </x:c>
      <x:c r="B25" s="20" t="n">
        <x:f>IF(B18&gt;0,-B18*LN(B18),0)</x:f>
        <x:v>0.32800296193457007</x:v>
      </x:c>
      <x:c r="C25" s="20" t="n">
        <x:f>IF(C18&gt;0,-C18*LN(C18),0)</x:f>
        <x:v>0.35106907829110195</x:v>
      </x:c>
      <x:c r="D25" s="20" t="n">
        <x:f>IF(D18&gt;0,-D18*LN(D18),0)</x:f>
        <x:v>0.32181902161500553</x:v>
      </x:c>
      <x:c r="E25" s="20" t="n">
        <x:f>IF(E18&gt;0,-E18*LN(E18),0)</x:f>
        <x:v>0.3194887660222414</x:v>
      </x:c>
      <x:c r="F25" s="20" t="n">
        <x:f>IF(F18&gt;0,-F18*LN(F18),0)</x:f>
        <x:v>0.3524682239952852</x:v>
      </x:c>
      <x:c r="G25" s="20" t="n">
        <x:f>IF(G18&gt;0,-G18*LN(G18),0)</x:f>
        <x:v>0.349702304707665</x:v>
      </x:c>
    </x:row>
    <x:row r="26">
      <x:c r="B26" s="20"/>
      <x:c r="C26" s="20"/>
      <x:c r="D26" s="20"/>
      <x:c r="E26" s="20"/>
      <x:c r="F26" s="20"/>
      <x:c r="G26" s="20"/>
    </x:row>
    <x:row r="27">
      <x:c r="B27" s="20"/>
      <x:c r="C27" s="20"/>
      <x:c r="D27" s="20"/>
      <x:c r="E27" s="20"/>
      <x:c r="F27" s="20"/>
      <x:c r="G27" s="20"/>
    </x:row>
    <x:row r="28">
      <x:c r="A28" t="str">
        <x:v>4. Entropy Ej</x:v>
      </x:c>
      <x:c r="B28" s="20" t="n">
        <x:f>SUM(B22:B25)/LN(4)</x:f>
        <x:v>0.9587385869774047</x:v>
      </x:c>
      <x:c r="C28" s="20" t="n">
        <x:f>SUM(C22:C25)/LN(4)</x:f>
        <x:v>0.9817381835399469</x:v>
      </x:c>
      <x:c r="D28" s="20" t="n">
        <x:f>SUM(D22:D25)/LN(4)</x:f>
        <x:v>0.9948137849875739</x:v>
      </x:c>
      <x:c r="E28" s="20" t="n">
        <x:f>SUM(E22:E25)/LN(4)</x:f>
        <x:v>0.9767991144070183</x:v>
      </x:c>
      <x:c r="F28" s="20" t="n">
        <x:f>SUM(F22:F25)/LN(4)</x:f>
        <x:v>0.9949490477321438</x:v>
      </x:c>
      <x:c r="G28" s="20" t="n">
        <x:f>SUM(G22:G25)/LN(4)</x:f>
        <x:v>0.9998370489460093</x:v>
      </x:c>
    </x:row>
    <x:row r="29">
      <x:c r="A29" t="str">
        <x:v>5. Dispersi Dj</x:v>
      </x:c>
      <x:c r="B29" s="20" t="n">
        <x:f>1-B28</x:f>
        <x:v>0.04126141302259534</x:v>
      </x:c>
      <x:c r="C29" s="20" t="n">
        <x:f>1-C28</x:f>
        <x:v>0.018261816460053093</x:v>
      </x:c>
      <x:c r="D29" s="20" t="n">
        <x:f>1-D28</x:f>
        <x:v>0.00518621501242611</x:v>
      </x:c>
      <x:c r="E29" s="20" t="n">
        <x:f>1-E28</x:f>
        <x:v>0.023200885592981724</x:v>
      </x:c>
      <x:c r="F29" s="20" t="n">
        <x:f>1-F28</x:f>
        <x:v>0.005050952267856235</x:v>
      </x:c>
      <x:c r="G29" s="20" t="n">
        <x:f>1-G28</x:f>
        <x:v>0.00016295105399066756</x:v>
      </x:c>
    </x:row>
    <x:row r="30" ht="28" customHeight="1">
      <x:c r="A30" s="26" t="str">
        <x:v>6. Bobot Wj</x:v>
      </x:c>
      <x:c r="B30" s="27" t="n">
        <x:f>B29/SUM($B$29:$G$29)</x:f>
        <x:v>0.4430792234388203</x:v>
      </x:c>
      <x:c r="C30" s="27" t="n">
        <x:f>C29/SUM($B$29:$G$29)</x:f>
        <x:v>0.19610165680151592</x:v>
      </x:c>
      <x:c r="D30" s="27" t="n">
        <x:f>D29/SUM($B$29:$G$29)</x:f>
        <x:v>0.055691357904639555</x:v>
      </x:c>
      <x:c r="E30" s="27" t="n">
        <x:f>E29/SUM($B$29:$G$29)</x:f>
        <x:v>0.2491390773748314</x:v>
      </x:c>
      <x:c r="F30" s="27" t="n">
        <x:f>F29/SUM($B$29:$G$29)</x:f>
        <x:v>0.05423886010017988</x:v>
      </x:c>
      <x:c r="G30" s="27" t="n">
        <x:f>G29/SUM($B$29:$G$29)</x:f>
        <x:v>0.001749824380012977</x:v>
      </x:c>
    </x:row>
    <x:row r="31">
      <x:c r="B31" s="20"/>
      <x:c r="C31" s="20"/>
      <x:c r="D31" s="20"/>
      <x:c r="E31" s="20"/>
      <x:c r="F31" s="20"/>
      <x:c r="G31" s="20"/>
    </x:row>
    <x:row r="32">
      <x:c r="A32" t="str">
        <x:v>Jumlah Wj (harus 1)</x:v>
      </x:c>
      <x:c r="B32" s="20" t="n">
        <x:f>SUM(B30:G30)</x:f>
        <x:v>1</x:v>
      </x:c>
      <x:c r="C32" s="20"/>
      <x:c r="D32" s="20"/>
      <x:c r="E32" s="20"/>
      <x:c r="F32" s="20"/>
      <x:c r="G32" s="20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34" customHeight="1">
      <x:c r="A1" s="3" t="str">
        <x:v>PERHITUNGAN TOPSIS: MANUAL PER TAHAP</x:v>
      </x:c>
      <x:c r="B1" s="3"/>
      <x:c r="C1" s="3"/>
      <x:c r="D1" s="3"/>
      <x:c r="E1" s="3"/>
      <x:c r="F1" s="3"/>
      <x:c r="G1" s="3"/>
    </x:row>
    <x:row r="5" ht="32" customHeight="1">
      <x:c r="A5" s="15" t="str">
        <x:v>1. Rij = Xij / √ΣXij²</x:v>
      </x:c>
      <x:c r="B5" s="15" t="str">
        <x:v>C1</x:v>
      </x:c>
      <x:c r="C5" s="15" t="str">
        <x:v>C2</x:v>
      </x:c>
      <x:c r="D5" s="15" t="str">
        <x:v>C3</x:v>
      </x:c>
      <x:c r="E5" s="15" t="str">
        <x:v>C4</x:v>
      </x:c>
      <x:c r="F5" s="15" t="str">
        <x:v>C5</x:v>
      </x:c>
      <x:c r="G5" s="15" t="str">
        <x:v>C6</x:v>
      </x:c>
    </x:row>
    <x:row r="6">
      <x:c r="A6" t="str">
        <x:v>PT Fable Teknologi Nusantara</x:v>
      </x:c>
      <x:c r="B6" s="20" t="n">
        <x:f>MATRIKS_X!B6/SQRT(SUMSQ(MATRIKS_X!B$6:B$9))</x:f>
        <x:v>0.37964242309313234</x:v>
      </x:c>
      <x:c r="C6" s="20" t="n">
        <x:f>MATRIKS_X!C6/SQRT(SUMSQ(MATRIKS_X!C$6:C$9))</x:f>
        <x:v>0.4558745053715488</x:v>
      </x:c>
      <x:c r="D6" s="20" t="n">
        <x:f>MATRIKS_X!D6/SQRT(SUMSQ(MATRIKS_X!D$6:D$9))</x:f>
        <x:v>0.5341888891876504</x:v>
      </x:c>
      <x:c r="E6" s="20" t="n">
        <x:f>MATRIKS_X!E6/SQRT(SUMSQ(MATRIKS_X!E$6:E$9))</x:f>
        <x:v>0.4411285536508043</x:v>
      </x:c>
      <x:c r="F6" s="20" t="n">
        <x:f>MATRIKS_X!F6/SQRT(SUMSQ(MATRIKS_X!F$6:F$9))</x:f>
        <x:v>0.5298129428260175</x:v>
      </x:c>
      <x:c r="G6" s="20" t="n">
        <x:f>MATRIKS_X!G6/SQRT(SUMSQ(MATRIKS_X!G$6:G$9))</x:f>
        <x:v>0.5006530810076636</x:v>
      </x:c>
    </x:row>
    <x:row r="7">
      <x:c r="A7" t="str">
        <x:v>PT Jurita Agrotama Indonesia</x:v>
      </x:c>
      <x:c r="B7" s="20" t="n">
        <x:f>MATRIKS_X!B7/SQRT(SUMSQ(MATRIKS_X!B$6:B$9))</x:f>
        <x:v>0.7597501318495842</x:v>
      </x:c>
      <x:c r="C7" s="20" t="n">
        <x:f>MATRIKS_X!C7/SQRT(SUMSQ(MATRIKS_X!C$6:C$9))</x:f>
        <x:v>0.643717128771659</x:v>
      </x:c>
      <x:c r="D7" s="20" t="n">
        <x:f>MATRIKS_X!D7/SQRT(SUMSQ(MATRIKS_X!D$6:D$9))</x:f>
        <x:v>0.5397533567833551</x:v>
      </x:c>
      <x:c r="E7" s="20" t="n">
        <x:f>MATRIKS_X!E7/SQRT(SUMSQ(MATRIKS_X!E$6:E$9))</x:f>
        <x:v>0.7006563252928338</x:v>
      </x:c>
      <x:c r="F7" s="20" t="n">
        <x:f>MATRIKS_X!F7/SQRT(SUMSQ(MATRIKS_X!F$6:F$9))</x:f>
        <x:v>0.5298129428260175</x:v>
      </x:c>
      <x:c r="G7" s="20" t="n">
        <x:f>MATRIKS_X!G7/SQRT(SUMSQ(MATRIKS_X!G$6:G$9))</x:f>
        <x:v>0.4932673655335981</x:v>
      </x:c>
    </x:row>
    <x:row r="8">
      <x:c r="A8" t="str">
        <x:v>PT Gema Sapta Bintang</x:v>
      </x:c>
      <x:c r="B8" s="20" t="n">
        <x:f>MATRIKS_X!B8/SQRT(SUMSQ(MATRIKS_X!B$6:B$9))</x:f>
        <x:v>0.3483512190620354</x:v>
      </x:c>
      <x:c r="C8" s="20" t="n">
        <x:f>MATRIKS_X!C8/SQRT(SUMSQ(MATRIKS_X!C$6:C$9))</x:f>
        <x:v>0.3398687801884588</x:v>
      </x:c>
      <x:c r="D8" s="20" t="n">
        <x:f>MATRIKS_X!D8/SQRT(SUMSQ(MATRIKS_X!D$6:D$9))</x:f>
        <x:v>0.5154143460000208</x:v>
      </x:c>
      <x:c r="E8" s="20" t="n">
        <x:f>MATRIKS_X!E8/SQRT(SUMSQ(MATRIKS_X!E$6:E$9))</x:f>
        <x:v>0.413025834317744</x:v>
      </x:c>
      <x:c r="F8" s="20" t="n">
        <x:f>MATRIKS_X!F8/SQRT(SUMSQ(MATRIKS_X!F$6:F$9))</x:f>
        <x:v>0.39735970711951313</x:v>
      </x:c>
      <x:c r="G8" s="20" t="n">
        <x:f>MATRIKS_X!G8/SQRT(SUMSQ(MATRIKS_X!G$6:G$9))</x:f>
        <x:v>0.4888105348674654</x:v>
      </x:c>
    </x:row>
    <x:row r="9">
      <x:c r="A9" t="str">
        <x:v>PT Kairos Sinergi Indonesia</x:v>
      </x:c>
      <x:c r="B9" s="20" t="n">
        <x:f>MATRIKS_X!B9/SQRT(SUMSQ(MATRIKS_X!B$6:B$9))</x:f>
        <x:v>0.3966141650527731</x:v>
      </x:c>
      <x:c r="C9" s="20" t="n">
        <x:f>MATRIKS_X!C9/SQRT(SUMSQ(MATRIKS_X!C$6:C$9))</x:f>
        <x:v>0.5121483239564748</x:v>
      </x:c>
      <x:c r="D9" s="20" t="n">
        <x:f>MATRIKS_X!D9/SQRT(SUMSQ(MATRIKS_X!D$6:D$9))</x:f>
        <x:v>0.3970599406222382</x:v>
      </x:c>
      <x:c r="E9" s="20" t="n">
        <x:f>MATRIKS_X!E9/SQRT(SUMSQ(MATRIKS_X!E$6:E$9))</x:f>
        <x:v>0.37933622706936865</x:v>
      </x:c>
      <x:c r="F9" s="20" t="n">
        <x:f>MATRIKS_X!F9/SQRT(SUMSQ(MATRIKS_X!F$6:F$9))</x:f>
        <x:v>0.5298129428260175</x:v>
      </x:c>
      <x:c r="G9" s="20" t="n">
        <x:f>MATRIKS_X!G9/SQRT(SUMSQ(MATRIKS_X!G$6:G$9))</x:f>
        <x:v>0.5168153050942473</x:v>
      </x:c>
    </x:row>
    <x:row r="10">
      <x:c r="B10" s="20"/>
      <x:c r="C10" s="20"/>
      <x:c r="D10" s="20"/>
      <x:c r="E10" s="20"/>
      <x:c r="F10" s="20"/>
      <x:c r="G10" s="20"/>
    </x:row>
    <x:row r="11">
      <x:c r="B11" s="20"/>
      <x:c r="C11" s="20"/>
      <x:c r="D11" s="20"/>
      <x:c r="E11" s="20"/>
      <x:c r="F11" s="20"/>
      <x:c r="G11" s="20"/>
    </x:row>
    <x:row r="12" ht="32" customHeight="1">
      <x:c r="A12" s="15" t="str">
        <x:v>2. Yij = Rij × Wj</x:v>
      </x:c>
      <x:c r="B12" s="22" t="str">
        <x:v>C1</x:v>
      </x:c>
      <x:c r="C12" s="22" t="str">
        <x:v>C2</x:v>
      </x:c>
      <x:c r="D12" s="22" t="str">
        <x:v>C3</x:v>
      </x:c>
      <x:c r="E12" s="22" t="str">
        <x:v>C4</x:v>
      </x:c>
      <x:c r="F12" s="22" t="str">
        <x:v>C5</x:v>
      </x:c>
      <x:c r="G12" s="22" t="str">
        <x:v>C6</x:v>
      </x:c>
    </x:row>
    <x:row r="13">
      <x:c r="A13" t="str">
        <x:v>PT Fable Teknologi Nusantara</x:v>
      </x:c>
      <x:c r="B13" s="20" t="n">
        <x:f>B6*ENTROPY!B$30</x:f>
        <x:v>0.16821167000853712</x:v>
      </x:c>
      <x:c r="C13" s="20" t="n">
        <x:f>C6*ENTROPY!C$30</x:f>
        <x:v>0.08939774579693228</x:v>
      </x:c>
      <x:c r="D13" s="20" t="n">
        <x:f>D6*ENTROPY!D$30</x:f>
        <x:v>0.029749704616431276</x:v>
      </x:c>
      <x:c r="E13" s="20" t="n">
        <x:f>E6*ENTROPY!E$30</x:f>
        <x:v>0.10990236086025519</x:v>
      </x:c>
      <x:c r="F13" s="20" t="n">
        <x:f>F6*ENTROPY!F$30</x:f>
        <x:v>0.028736450085204965</x:v>
      </x:c>
      <x:c r="G13" s="20" t="n">
        <x:f>G6*ENTROPY!G$30</x:f>
        <x:v>0.0008760549670758217</x:v>
      </x:c>
    </x:row>
    <x:row r="14">
      <x:c r="A14" t="str">
        <x:v>PT Jurita Agrotama Indonesia</x:v>
      </x:c>
      <x:c r="B14" s="20" t="n">
        <x:f>B7*ENTROPY!B$30</x:f>
        <x:v>0.3366294984274551</x:v>
      </x:c>
      <x:c r="C14" s="20" t="n">
        <x:f>C7*ENTROPY!C$30</x:f>
        <x:v>0.1262339954636371</x:v>
      </x:c>
      <x:c r="D14" s="20" t="n">
        <x:f>D7*ENTROPY!D$30</x:f>
        <x:v>0.030059597372852437</x:v>
      </x:c>
      <x:c r="E14" s="20" t="n">
        <x:f>E7*ENTROPY!E$30</x:f>
        <x:v>0.17456087044029636</x:v>
      </x:c>
      <x:c r="F14" s="20" t="n">
        <x:f>F7*ENTROPY!F$30</x:f>
        <x:v>0.028736450085204965</x:v>
      </x:c>
      <x:c r="G14" s="20" t="n">
        <x:f>G7*ENTROPY!G$30</x:f>
        <x:v>0.0008631312620754628</x:v>
      </x:c>
    </x:row>
    <x:row r="15">
      <x:c r="A15" t="str">
        <x:v>PT Gema Sapta Bintang</x:v>
      </x:c>
      <x:c r="B15" s="20" t="n">
        <x:f>B8*ENTROPY!B$30</x:f>
        <x:v>0.15434718762597302</x:v>
      </x:c>
      <x:c r="C15" s="20" t="n">
        <x:f>C8*ENTROPY!C$30</x:f>
        <x:v>0.066648830890067</x:v>
      </x:c>
      <x:c r="D15" s="20" t="n">
        <x:f>D8*ENTROPY!D$30</x:f>
        <x:v>0.028704124812272885</x:v>
      </x:c>
      <x:c r="E15" s="20" t="n">
        <x:f>E8*ENTROPY!E$30</x:f>
        <x:v>0.10290087529389272</x:v>
      </x:c>
      <x:c r="F15" s="20" t="n">
        <x:f>F8*ENTROPY!F$30</x:f>
        <x:v>0.021552337563903724</x:v>
      </x:c>
      <x:c r="G15" s="20" t="n">
        <x:f>G8*ENTROPY!G$30</x:f>
        <x:v>0.0008553325911182742</x:v>
      </x:c>
    </x:row>
    <x:row r="16">
      <x:c r="A16" t="str">
        <x:v>PT Kairos Sinergi Indonesia</x:v>
      </x:c>
      <x:c r="B16" s="20" t="n">
        <x:f>B9*ENTROPY!B$30</x:f>
        <x:v>0.1757314962564188</x:v>
      </x:c>
      <x:c r="C16" s="20" t="n">
        <x:f>C9*ENTROPY!C$30</x:f>
        <x:v>0.10043313485598422</x:v>
      </x:c>
      <x:c r="D16" s="20" t="n">
        <x:f>D9*ENTROPY!D$30</x:f>
        <x:v>0.022112807262787998</x:v>
      </x:c>
      <x:c r="E16" s="20" t="n">
        <x:f>E9*ENTROPY!E$30</x:f>
        <x:v>0.09450747762691206</x:v>
      </x:c>
      <x:c r="F16" s="20" t="n">
        <x:f>F9*ENTROPY!F$30</x:f>
        <x:v>0.028736450085204965</x:v>
      </x:c>
      <x:c r="G16" s="20" t="n">
        <x:f>G9*ENTROPY!G$30</x:f>
        <x:v>0.0009043360208177588</x:v>
      </x:c>
    </x:row>
    <x:row r="17">
      <x:c r="B17" s="20"/>
      <x:c r="C17" s="20"/>
      <x:c r="D17" s="20"/>
      <x:c r="E17" s="20"/>
      <x:c r="F17" s="20"/>
      <x:c r="G17" s="20"/>
    </x:row>
    <x:row r="18">
      <x:c r="A18" t="str">
        <x:v>3. Solusi ideal A+</x:v>
      </x:c>
      <x:c r="B18" s="20" t="n">
        <x:f>MAX(B13:B16)</x:f>
        <x:v>0.3366294984274551</x:v>
      </x:c>
      <x:c r="C18" s="20" t="n">
        <x:f>MAX(C13:C16)</x:f>
        <x:v>0.1262339954636371</x:v>
      </x:c>
      <x:c r="D18" s="20" t="n">
        <x:f>MAX(D13:D16)</x:f>
        <x:v>0.030059597372852437</x:v>
      </x:c>
      <x:c r="E18" s="20" t="n">
        <x:f>MAX(E13:E16)</x:f>
        <x:v>0.17456087044029636</x:v>
      </x:c>
      <x:c r="F18" s="20" t="n">
        <x:f>MAX(F13:F16)</x:f>
        <x:v>0.028736450085204965</x:v>
      </x:c>
      <x:c r="G18" s="20" t="n">
        <x:f>MAX(G13:G16)</x:f>
        <x:v>0.0009043360208177588</x:v>
      </x:c>
    </x:row>
    <x:row r="19">
      <x:c r="A19" t="str">
        <x:v>4. Solusi ideal A-</x:v>
      </x:c>
      <x:c r="B19" s="20" t="n">
        <x:f>MIN(B13:B16)</x:f>
        <x:v>0.15434718762597302</x:v>
      </x:c>
      <x:c r="C19" s="20" t="n">
        <x:f>MIN(C13:C16)</x:f>
        <x:v>0.066648830890067</x:v>
      </x:c>
      <x:c r="D19" s="20" t="n">
        <x:f>MIN(D13:D16)</x:f>
        <x:v>0.022112807262787998</x:v>
      </x:c>
      <x:c r="E19" s="20" t="n">
        <x:f>MIN(E13:E16)</x:f>
        <x:v>0.09450747762691206</x:v>
      </x:c>
      <x:c r="F19" s="20" t="n">
        <x:f>MIN(F13:F16)</x:f>
        <x:v>0.021552337563903724</x:v>
      </x:c>
      <x:c r="G19" s="20" t="n">
        <x:f>MIN(G13:G16)</x:f>
        <x:v>0.0008553325911182742</x:v>
      </x:c>
    </x:row>
    <x:row r="20">
      <x:c r="B20" s="20"/>
      <x:c r="C20" s="20"/>
      <x:c r="D20" s="20"/>
      <x:c r="E20" s="20"/>
      <x:c r="F20" s="20"/>
      <x:c r="G20" s="20"/>
    </x:row>
    <x:row r="21">
      <x:c r="B21" s="20"/>
      <x:c r="C21" s="20"/>
      <x:c r="D21" s="20"/>
      <x:c r="E21" s="20"/>
      <x:c r="F21" s="20"/>
      <x:c r="G21" s="20"/>
    </x:row>
    <x:row r="22" ht="32" customHeight="1">
      <x:c r="A22" s="15" t="str">
        <x:v>5. Kontribusi D+ : (Yij − A+j)^2</x:v>
      </x:c>
      <x:c r="B22" s="22" t="str">
        <x:v>C1</x:v>
      </x:c>
      <x:c r="C22" s="22" t="str">
        <x:v>C2</x:v>
      </x:c>
      <x:c r="D22" s="22" t="str">
        <x:v>C3</x:v>
      </x:c>
      <x:c r="E22" s="22" t="str">
        <x:v>C4</x:v>
      </x:c>
      <x:c r="F22" s="22" t="str">
        <x:v>C5</x:v>
      </x:c>
      <x:c r="G22" s="22" t="str">
        <x:v>C6</x:v>
      </x:c>
    </x:row>
    <x:row r="23">
      <x:c r="A23" t="str">
        <x:v>PT Fable Teknologi Nusantara</x:v>
      </x:c>
      <x:c r="B23" s="20" t="n">
        <x:f>(B13-B$18)^2</x:f>
        <x:v>0.028364564929344097</x:v>
      </x:c>
      <x:c r="C23" s="20" t="n">
        <x:f>(C13-C$18)^2</x:f>
        <x:v>0.0013569092895078098</x:v>
      </x:c>
      <x:c r="D23" s="20" t="n">
        <x:f>(D13-D$18)^2</x:f>
        <x:v>9.603352048230498e-8</x:v>
      </x:c>
      <x:c r="E23" s="20" t="n">
        <x:f>(E13-E$18)^2</x:f>
        <x:v>0.004180722861112276</x:v>
      </x:c>
      <x:c r="F23" s="20" t="n">
        <x:f>(F13-F$18)^2</x:f>
        <x:v>0</x:v>
      </x:c>
      <x:c r="G23" s="20" t="n">
        <x:f>(G13-G$18)^2</x:f>
        <x:v>7.998180007543359e-10</x:v>
      </x:c>
    </x:row>
    <x:row r="24">
      <x:c r="A24" t="str">
        <x:v>PT Jurita Agrotama Indonesia</x:v>
      </x:c>
      <x:c r="B24" s="20" t="n">
        <x:f>(B14-B$18)^2</x:f>
        <x:v>0</x:v>
      </x:c>
      <x:c r="C24" s="20" t="n">
        <x:f>(C14-C$18)^2</x:f>
        <x:v>0</x:v>
      </x:c>
      <x:c r="D24" s="20" t="n">
        <x:f>(D14-D$18)^2</x:f>
        <x:v>0</x:v>
      </x:c>
      <x:c r="E24" s="20" t="n">
        <x:f>(E14-E$18)^2</x:f>
        <x:v>0</x:v>
      </x:c>
      <x:c r="F24" s="20" t="n">
        <x:f>(F14-F$18)^2</x:f>
        <x:v>0</x:v>
      </x:c>
      <x:c r="G24" s="20" t="n">
        <x:f>(G14-G$18)^2</x:f>
        <x:v>1.697832143010816e-9</x:v>
      </x:c>
    </x:row>
    <x:row r="25">
      <x:c r="A25" t="str">
        <x:v>PT Gema Sapta Bintang</x:v>
      </x:c>
      <x:c r="B25" s="20" t="n">
        <x:f>(B15-B$18)^2</x:f>
        <x:v>0.03322684083112811</x:v>
      </x:c>
      <x:c r="C25" s="20" t="n">
        <x:f>(C15-C$18)^2</x:f>
        <x:v>0.0035503918372594323</x:v>
      </x:c>
      <x:c r="D25" s="20" t="n">
        <x:f>(D15-D$18)^2</x:f>
        <x:v>0.0000018373058624840857</x:v>
      </x:c>
      <x:c r="E25" s="20" t="n">
        <x:f>(E15-E$18)^2</x:f>
        <x:v>0.005135154904382593</x:v>
      </x:c>
      <x:c r="F25" s="20" t="n">
        <x:f>(F15-F$18)^2</x:f>
        <x:v>0.00005161147271871728</x:v>
      </x:c>
      <x:c r="G25" s="20" t="n">
        <x:f>(G15-G$18)^2</x:f>
        <x:v>2.4013361223123284e-9</x:v>
      </x:c>
    </x:row>
    <x:row r="26">
      <x:c r="A26" t="str">
        <x:v>PT Kairos Sinergi Indonesia</x:v>
      </x:c>
      <x:c r="B26" s="20" t="n">
        <x:f>(B16-B$18)^2</x:f>
        <x:v>0.025888167102630803</x:v>
      </x:c>
      <x:c r="C26" s="20" t="n">
        <x:f>(C16-C$18)^2</x:f>
        <x:v>0.0006656844080955335</x:v>
      </x:c>
      <x:c r="D26" s="20" t="n">
        <x:f>(D16-D$18)^2</x:f>
        <x:v>0.00006315147305341798</x:v>
      </x:c>
      <x:c r="E26" s="20" t="n">
        <x:f>(E16-E$18)^2</x:f>
        <x:v>0.00640854570093401</x:v>
      </x:c>
      <x:c r="F26" s="20" t="n">
        <x:f>(F16-F$18)^2</x:f>
        <x:v>0</x:v>
      </x:c>
      <x:c r="G26" s="20" t="n">
        <x:f>(G16-G$18)^2</x:f>
        <x:v>0</x:v>
      </x:c>
    </x:row>
    <x:row r="27">
      <x:c r="B27" s="20"/>
      <x:c r="C27" s="20"/>
      <x:c r="D27" s="20"/>
      <x:c r="E27" s="20"/>
      <x:c r="F27" s="20"/>
      <x:c r="G27" s="20"/>
    </x:row>
    <x:row r="28">
      <x:c r="B28" s="20"/>
      <x:c r="C28" s="20"/>
      <x:c r="D28" s="20"/>
      <x:c r="E28" s="20"/>
      <x:c r="F28" s="20"/>
      <x:c r="G28" s="20"/>
    </x:row>
    <x:row r="29" ht="32" customHeight="1">
      <x:c r="A29" s="15" t="str">
        <x:v>6. Kontribusi D- : (Yij − A-j)^2</x:v>
      </x:c>
      <x:c r="B29" s="22" t="str">
        <x:v>C1</x:v>
      </x:c>
      <x:c r="C29" s="22" t="str">
        <x:v>C2</x:v>
      </x:c>
      <x:c r="D29" s="22" t="str">
        <x:v>C3</x:v>
      </x:c>
      <x:c r="E29" s="22" t="str">
        <x:v>C4</x:v>
      </x:c>
      <x:c r="F29" s="22" t="str">
        <x:v>C5</x:v>
      </x:c>
      <x:c r="G29" s="22" t="str">
        <x:v>C6</x:v>
      </x:c>
    </x:row>
    <x:row r="30">
      <x:c r="A30" t="str">
        <x:v>PT Fable Teknologi Nusantara</x:v>
      </x:c>
      <x:c r="B30" s="20" t="n">
        <x:f>(B13-B$19)^2</x:f>
        <x:v>0.00019222387173643038</x:v>
      </x:c>
      <x:c r="C30" s="20" t="n">
        <x:f>(C13-C$19)^2</x:f>
        <x:v>0.0005175131294397977</x:v>
      </x:c>
      <x:c r="D30" s="20" t="n">
        <x:f>(D13-D$19)^2</x:f>
        <x:v>0.000058322201190083705</x:v>
      </x:c>
      <x:c r="E30" s="20" t="n">
        <x:f>(E13-E$19)^2</x:f>
        <x:v>0.00023700242976826957</x:v>
      </x:c>
      <x:c r="F30" s="20" t="n">
        <x:f>(F13-F$19)^2</x:f>
        <x:v>0.00005161147271871728</x:v>
      </x:c>
      <x:c r="G30" s="20" t="n">
        <x:f>(G13-G$19)^2</x:f>
        <x:v>4.294168653259412e-10</x:v>
      </x:c>
    </x:row>
    <x:row r="31">
      <x:c r="A31" t="str">
        <x:v>PT Jurita Agrotama Indonesia</x:v>
      </x:c>
      <x:c r="B31" s="20" t="n">
        <x:f>(B14-B$19)^2</x:f>
        <x:v>0.03322684083112811</x:v>
      </x:c>
      <x:c r="C31" s="20" t="n">
        <x:f>(C14-C$19)^2</x:f>
        <x:v>0.0035503918372594323</x:v>
      </x:c>
      <x:c r="D31" s="20" t="n">
        <x:f>(D14-D$19)^2</x:f>
        <x:v>0.00006315147305341798</x:v>
      </x:c>
      <x:c r="E31" s="20" t="n">
        <x:f>(E14-E$19)^2</x:f>
        <x:v>0.00640854570093401</x:v>
      </x:c>
      <x:c r="F31" s="20" t="n">
        <x:f>(F14-F$19)^2</x:f>
        <x:v>0.00005161147271871728</x:v>
      </x:c>
      <x:c r="G31" s="20" t="n">
        <x:f>(G14-G$19)^2</x:f>
        <x:v>6.08192686984973e-11</x:v>
      </x:c>
    </x:row>
    <x:row r="32">
      <x:c r="A32" t="str">
        <x:v>PT Gema Sapta Bintang</x:v>
      </x:c>
      <x:c r="B32" s="20" t="n">
        <x:f>(B15-B$19)^2</x:f>
        <x:v>0</x:v>
      </x:c>
      <x:c r="C32" s="20" t="n">
        <x:f>(C15-C$19)^2</x:f>
        <x:v>0</x:v>
      </x:c>
      <x:c r="D32" s="20" t="n">
        <x:f>(D15-D$19)^2</x:f>
        <x:v>0.00004344546703814746</x:v>
      </x:c>
      <x:c r="E32" s="20" t="n">
        <x:f>(E15-E$19)^2</x:f>
        <x:v>0.00007044912439607642</x:v>
      </x:c>
      <x:c r="F32" s="20" t="n">
        <x:f>(F15-F$19)^2</x:f>
        <x:v>0</x:v>
      </x:c>
      <x:c r="G32" s="20" t="n">
        <x:f>(G15-G$19)^2</x:f>
        <x:v>0</x:v>
      </x:c>
    </x:row>
    <x:row r="33">
      <x:c r="A33" t="str">
        <x:v>PT Kairos Sinergi Indonesia</x:v>
      </x:c>
      <x:c r="B33" s="20" t="n">
        <x:f>(B16-B$19)^2</x:f>
        <x:v>0.00045728865560215745</x:v>
      </x:c>
      <x:c r="C33" s="20" t="n">
        <x:f>(C16-C$19)^2</x:f>
        <x:v>0.0011413791944614902</x:v>
      </x:c>
      <x:c r="D33" s="20" t="n">
        <x:f>(D16-D$19)^2</x:f>
        <x:v>0</x:v>
      </x:c>
      <x:c r="E33" s="20" t="n">
        <x:f>(E16-E$19)^2</x:f>
        <x:v>0</x:v>
      </x:c>
      <x:c r="F33" s="20" t="n">
        <x:f>(F16-F$19)^2</x:f>
        <x:v>0.00005161147271871728</x:v>
      </x:c>
      <x:c r="G33" s="20" t="n">
        <x:f>(G16-G$19)^2</x:f>
        <x:v>2.4013361223123284e-9</x:v>
      </x:c>
    </x:row>
    <x:row r="34">
      <x:c r="B34" s="20"/>
      <x:c r="C34" s="20"/>
      <x:c r="D34" s="20"/>
      <x:c r="E34" s="20"/>
      <x:c r="F34" s="20"/>
      <x:c r="G34" s="20"/>
    </x:row>
    <x:row r="35">
      <x:c r="B35" s="20"/>
      <x:c r="C35" s="20"/>
      <x:c r="D35" s="20"/>
      <x:c r="E35" s="20"/>
      <x:c r="F35" s="20"/>
      <x:c r="G35" s="20"/>
    </x:row>
    <x:row r="36">
      <x:c r="B36" s="20"/>
      <x:c r="C36" s="20"/>
      <x:c r="D36" s="20"/>
      <x:c r="E36" s="20"/>
      <x:c r="F36" s="20"/>
      <x:c r="G36" s="20"/>
    </x:row>
    <x:row r="37" ht="32" customHeight="1">
      <x:c r="A37" s="15" t="str">
        <x:v>Alternatif</x:v>
      </x:c>
      <x:c r="B37" s="22" t="str">
        <x:v>7. Jarak D+</x:v>
      </x:c>
      <x:c r="C37" s="22" t="str">
        <x:v>8. Jarak D-</x:v>
      </x:c>
      <x:c r="D37" s="22" t="str">
        <x:v>9. Preferensi V</x:v>
      </x:c>
      <x:c r="E37" s="22" t="str">
        <x:v>10. Ranking</x:v>
      </x:c>
      <x:c r="F37" s="20"/>
      <x:c r="G37" s="20"/>
    </x:row>
    <x:row r="38" ht="26" customHeight="1">
      <x:c r="A38" s="6" t="str">
        <x:v>PT Fable Teknologi Nusantara</x:v>
      </x:c>
      <x:c r="B38" s="34" t="n">
        <x:f>SQRT(SUM(B23:G23))</x:f>
        <x:v>0.18412575570327652</x:v>
      </x:c>
      <x:c r="C38" s="34" t="n">
        <x:f>SQRT(SUM(B30:G30))</x:f>
        <x:v>0.032506515258793334</x:v>
      </x:c>
      <x:c r="D38" s="34" t="n">
        <x:f>C38/(B38+C38)</x:f>
        <x:v>0.15005389139130107</x:v>
      </x:c>
      <x:c r="E38" s="35" t="n">
        <x:f>1+COUNTIF($D$38:$D$41,"&gt;"&amp;D38)</x:f>
        <x:v>3</x:v>
      </x:c>
      <x:c r="F38" s="20"/>
      <x:c r="G38" s="20"/>
    </x:row>
    <x:row r="39" ht="26" customHeight="1">
      <x:c r="A39" s="6" t="str">
        <x:v>PT Jurita Agrotama Indonesia</x:v>
      </x:c>
      <x:c r="B39" s="34" t="n">
        <x:f>SQRT(SUM(B24:G24))</x:f>
        <x:v>0.00004120475874229597</x:v>
      </x:c>
      <x:c r="C39" s="34" t="n">
        <x:f>SQRT(SUM(B31:G31))</x:f>
        <x:v>0.20808782130608452</x:v>
      </x:c>
      <x:c r="D39" s="34" t="n">
        <x:f>C39/(B39+C39)</x:f>
        <x:v>0.9998020230069713</x:v>
      </x:c>
      <x:c r="E39" s="35" t="n">
        <x:f>1+COUNTIF($D$38:$D$41,"&gt;"&amp;D39)</x:f>
        <x:v>1</x:v>
      </x:c>
      <x:c r="F39" s="20"/>
      <x:c r="G39" s="20"/>
    </x:row>
    <x:row r="40" ht="26" customHeight="1">
      <x:c r="A40" s="6" t="str">
        <x:v>PT Gema Sapta Bintang</x:v>
      </x:c>
      <x:c r="B40" s="34" t="n">
        <x:f>SQRT(SUM(B25:G25))</x:f>
        <x:v>0.20485565345551845</x:v>
      </x:c>
      <x:c r="C40" s="34" t="n">
        <x:f>SQRT(SUM(B32:G32))</x:f>
        <x:v>0.010672140902097567</x:v>
      </x:c>
      <x:c r="D40" s="34" t="n">
        <x:f>C40/(B40+C40)</x:f>
        <x:v>0.049516309179083146</x:v>
      </x:c>
      <x:c r="E40" s="35" t="n">
        <x:f>1+COUNTIF($D$38:$D$41,"&gt;"&amp;D40)</x:f>
        <x:v>4</x:v>
      </x:c>
      <x:c r="F40" s="20"/>
      <x:c r="G40" s="20"/>
    </x:row>
    <x:row r="41" ht="26" customHeight="1">
      <x:c r="A41" s="6" t="str">
        <x:v>PT Kairos Sinergi Indonesia</x:v>
      </x:c>
      <x:c r="B41" s="34" t="n">
        <x:f>SQRT(SUM(B26:G26))</x:f>
        <x:v>0.1817293280808405</x:v>
      </x:c>
      <x:c r="C41" s="34" t="n">
        <x:f>SQRT(SUM(B33:G33))</x:f>
        <x:v>0.040623659659347375</x:v>
      </x:c>
      <x:c r="D41" s="34" t="n">
        <x:f>C41/(B41+C41)</x:f>
        <x:v>0.18269896020832777</x:v>
      </x:c>
      <x:c r="E41" s="35" t="n">
        <x:f>1+COUNTIF($D$38:$D$41,"&gt;"&amp;D41)</x:f>
        <x:v>2</x:v>
      </x:c>
      <x:c r="F41" s="20"/>
      <x:c r="G41" s="20"/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27" hidden="0" customWidth="1"/>
    <x:col min="3" max="3" width="17" hidden="0" customWidth="1"/>
    <x:col min="4" max="4" width="23" hidden="0" customWidth="1"/>
    <x:col min="5" max="5" width="23" hidden="0" customWidth="1"/>
  </x:cols>
  <x:sheetData>
    <x:row r="1" ht="34" customHeight="1">
      <x:c r="A1" s="3" t="str">
        <x:v>HASIL FINAL PERINGKAT PERUSAHAAN</x:v>
      </x:c>
      <x:c r="B1" s="3"/>
      <x:c r="C1" s="3"/>
      <x:c r="D1" s="3"/>
      <x:c r="E1" s="3"/>
    </x:row>
    <x:row r="5" ht="32" customHeight="1">
      <x:c r="A5" s="15" t="str">
        <x:v>Perusahaan</x:v>
      </x:c>
      <x:c r="B5" s="15" t="str">
        <x:v>Preferensi TOPSIS</x:v>
      </x:c>
      <x:c r="C5" s="15" t="str">
        <x:v>Peringkat</x:v>
      </x:c>
      <x:c r="D5" s="15" t="str">
        <x:v>D+</x:v>
      </x:c>
      <x:c r="E5" s="15" t="str">
        <x:v>D-</x:v>
      </x:c>
    </x:row>
    <x:row r="6">
      <x:c r="A6" t="str">
        <x:v>PT Fable Teknologi Nusantara</x:v>
      </x:c>
      <x:c r="B6" s="38" t="n">
        <x:f>TOPSIS!D38</x:f>
        <x:v>0.15005389139130107</x:v>
      </x:c>
      <x:c r="C6" t="n">
        <x:f>TOPSIS!E38</x:f>
        <x:v>3</x:v>
      </x:c>
      <x:c r="D6" s="20" t="n">
        <x:f>TOPSIS!B38</x:f>
        <x:v>0.18412575570327652</x:v>
      </x:c>
      <x:c r="E6" s="20" t="n">
        <x:f>TOPSIS!C38</x:f>
        <x:v>0.032506515258793334</x:v>
      </x:c>
    </x:row>
    <x:row r="7">
      <x:c r="A7" t="str">
        <x:v>PT Jurita Agrotama Indonesia</x:v>
      </x:c>
      <x:c r="B7" s="38" t="n">
        <x:f>TOPSIS!D39</x:f>
        <x:v>0.9998020230069713</x:v>
      </x:c>
      <x:c r="C7" t="n">
        <x:f>TOPSIS!E39</x:f>
        <x:v>1</x:v>
      </x:c>
      <x:c r="D7" s="20" t="n">
        <x:f>TOPSIS!B39</x:f>
        <x:v>0.00004120475874229597</x:v>
      </x:c>
      <x:c r="E7" s="20" t="n">
        <x:f>TOPSIS!C39</x:f>
        <x:v>0.20808782130608452</x:v>
      </x:c>
    </x:row>
    <x:row r="8">
      <x:c r="A8" t="str">
        <x:v>PT Gema Sapta Bintang</x:v>
      </x:c>
      <x:c r="B8" s="38" t="n">
        <x:f>TOPSIS!D40</x:f>
        <x:v>0.049516309179083146</x:v>
      </x:c>
      <x:c r="C8" t="n">
        <x:f>TOPSIS!E40</x:f>
        <x:v>4</x:v>
      </x:c>
      <x:c r="D8" s="20" t="n">
        <x:f>TOPSIS!B40</x:f>
        <x:v>0.20485565345551845</x:v>
      </x:c>
      <x:c r="E8" s="20" t="n">
        <x:f>TOPSIS!C40</x:f>
        <x:v>0.010672140902097567</x:v>
      </x:c>
    </x:row>
    <x:row r="9">
      <x:c r="A9" t="str">
        <x:v>PT Kairos Sinergi Indonesia</x:v>
      </x:c>
      <x:c r="B9" s="38" t="n">
        <x:f>TOPSIS!D41</x:f>
        <x:v>0.18269896020832777</x:v>
      </x:c>
      <x:c r="C9" t="n">
        <x:f>TOPSIS!E41</x:f>
        <x:v>2</x:v>
      </x:c>
      <x:c r="D9" s="20" t="n">
        <x:f>TOPSIS!B41</x:f>
        <x:v>0.1817293280808405</x:v>
      </x:c>
      <x:c r="E9" s="20" t="n">
        <x:f>TOPSIS!C41</x:f>
        <x:v>0.040623659659347375</x:v>
      </x:c>
    </x:row>
    <x:row r="12">
      <x:c r="A12" t="str">
        <x:v>Kriteria dominan</x:v>
      </x:c>
      <x:c r="B12" t="str">
        <x:f>INDEX(MATRIKS_X!B5:G5,1,MATCH(MAX(ENTROPY!B30:G30),ENTROPY!B30:G30,0))</x:f>
        <x:v>C1: Tx</x:v>
      </x:c>
    </x:row>
    <x:row r="13">
      <x:c r="A13" t="str">
        <x:v>Bobot dominan</x:v>
      </x:c>
      <x:c r="B13" s="38" t="n">
        <x:f>MAX(ENTROPY!B30:G30)</x:f>
        <x:v>0.4430792234388203</x:v>
      </x:c>
    </x:row>
    <x:row r="15">
      <x:c r="A15" t="str">
        <x:v>Status cek total bobot</x:v>
      </x:c>
      <x:c r="B15" t="str">
        <x:f>IF(ABS(ENTROPY!B32-1)&lt;0.000000001,"LOLOS","CEK")</x:f>
        <x:v>LOLOS</x:v>
      </x:c>
    </x:row>
    <x:row r="17">
      <x:c r="A17" t="str">
        <x:v>Peringkat relatif berdasar 4 alternatif dan periode observasi, bukan prediksi transaksi masa depan.</x:v>
      </x:c>
    </x:row>
  </x:sheetData>
  <x:mergeCells>
    <x:mergeCell ref="A1:E1"/>
  </x:mergeCells>
  <x:pageMargins left="0.7" right="0.7" top="0.75" bottom="0.75" header="0.3" footer="0.3"/>
  <x:drawing xmlns:r="http://schemas.openxmlformats.org/officeDocument/2006/relationships" r:id="Raf15db4c92f3473c"/>
</x:worksheet>
</file>