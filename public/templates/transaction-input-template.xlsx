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ea575efb5d309/Desktop/2.TRANSAKSI HARIAN BRI/TEMPLATE BRI/"/>
    </mc:Choice>
  </mc:AlternateContent>
  <xr:revisionPtr revIDLastSave="3" documentId="13_ncr:1_{FEF3ACA6-67B6-4D2E-A417-7E5CC0981E8A}" xr6:coauthVersionLast="47" xr6:coauthVersionMax="47" xr10:uidLastSave="{1727562D-CBF8-4C82-993D-8C7D3E790077}"/>
  <bookViews>
    <workbookView xWindow="-110" yWindow="-110" windowWidth="19420" windowHeight="10300" activeTab="1" xr2:uid="{2AE748E1-E7CB-4B3B-AAF9-29C6D73F2DE6}"/>
  </bookViews>
  <sheets>
    <sheet name="Data KE BRI" sheetId="1" r:id="rId1"/>
    <sheet name="Data Base Bule" sheetId="2" r:id="rId2"/>
    <sheet name="INV.1" sheetId="3" r:id="rId3"/>
    <sheet name="INV.2" sheetId="4" r:id="rId4"/>
    <sheet name="INV.3" sheetId="7" r:id="rId5"/>
    <sheet name="INV.4" sheetId="6" r:id="rId6"/>
    <sheet name="INV.5" sheetId="5" r:id="rId7"/>
    <sheet name="INV.6" sheetId="8" r:id="rId8"/>
    <sheet name="INV.7" sheetId="9" r:id="rId9"/>
    <sheet name="INV.8" sheetId="10" r:id="rId10"/>
    <sheet name="INV.9" sheetId="11" r:id="rId11"/>
    <sheet name="INV.10" sheetId="12" r:id="rId12"/>
    <sheet name="INV.11" sheetId="13" r:id="rId13"/>
    <sheet name="INV.12" sheetId="14" r:id="rId14"/>
    <sheet name="INV.13" sheetId="15" r:id="rId15"/>
    <sheet name="INV.14" sheetId="16" r:id="rId16"/>
    <sheet name="INV.15" sheetId="17" r:id="rId17"/>
    <sheet name="INV.16" sheetId="18" r:id="rId18"/>
    <sheet name="INV.17" sheetId="19" r:id="rId19"/>
    <sheet name="INV.18" sheetId="20" r:id="rId20"/>
    <sheet name="INV.19" sheetId="21" r:id="rId21"/>
    <sheet name="INV.20" sheetId="22" r:id="rId22"/>
    <sheet name="INV.21" sheetId="23" r:id="rId23"/>
    <sheet name="INV.22" sheetId="24" r:id="rId24"/>
    <sheet name="INV.23" sheetId="25" r:id="rId25"/>
    <sheet name="INV.24" sheetId="26" r:id="rId26"/>
    <sheet name="INV.25" sheetId="27" r:id="rId27"/>
    <sheet name="INV.26" sheetId="28" r:id="rId28"/>
    <sheet name="INV.27" sheetId="29" r:id="rId29"/>
    <sheet name="INV.28" sheetId="30" r:id="rId30"/>
    <sheet name="INV.29" sheetId="31" r:id="rId31"/>
    <sheet name="INV.30" sheetId="32" r:id="rId32"/>
    <sheet name="INV.31" sheetId="33" r:id="rId33"/>
    <sheet name="INV.32" sheetId="34" r:id="rId34"/>
    <sheet name="INV.33" sheetId="35" r:id="rId35"/>
    <sheet name="INV.34" sheetId="36" r:id="rId36"/>
    <sheet name="INV.35" sheetId="37" r:id="rId37"/>
    <sheet name="INV.36" sheetId="38" r:id="rId38"/>
    <sheet name="INV.37" sheetId="39" r:id="rId39"/>
    <sheet name="INV.38" sheetId="40" r:id="rId40"/>
    <sheet name="INV.39" sheetId="41" r:id="rId41"/>
    <sheet name="INV.40" sheetId="42" r:id="rId42"/>
    <sheet name="INV.41" sheetId="43" r:id="rId43"/>
    <sheet name="INV.42" sheetId="44" r:id="rId44"/>
    <sheet name="INV.43" sheetId="45" r:id="rId45"/>
    <sheet name="INV.44" sheetId="46" r:id="rId46"/>
    <sheet name="INV.45" sheetId="47" r:id="rId47"/>
    <sheet name="INV.46" sheetId="48" r:id="rId48"/>
    <sheet name="INV.47" sheetId="49" r:id="rId49"/>
    <sheet name="INV.48" sheetId="50" r:id="rId50"/>
    <sheet name="INV.49" sheetId="51" r:id="rId51"/>
    <sheet name="INV.50" sheetId="52" r:id="rId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C7" i="1"/>
  <c r="B4" i="1"/>
  <c r="B5" i="1"/>
  <c r="B6" i="1"/>
  <c r="B7" i="1"/>
  <c r="B8" i="1"/>
  <c r="A3" i="1"/>
  <c r="B3" i="1"/>
  <c r="C3" i="1"/>
  <c r="D3" i="1"/>
  <c r="E3" i="1"/>
  <c r="F3" i="1"/>
  <c r="H3" i="1"/>
  <c r="A4" i="1"/>
  <c r="C4" i="1"/>
  <c r="D4" i="1"/>
  <c r="E4" i="1"/>
  <c r="F4" i="1"/>
  <c r="H4" i="1"/>
  <c r="A5" i="1"/>
  <c r="A6" i="1"/>
  <c r="A7" i="1"/>
  <c r="A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B41" i="1"/>
  <c r="B42" i="1"/>
  <c r="B43" i="1"/>
  <c r="B44" i="1"/>
  <c r="B45" i="1"/>
  <c r="B46" i="1"/>
  <c r="B47" i="1"/>
  <c r="B48" i="1"/>
  <c r="B49" i="1"/>
  <c r="B50" i="1"/>
  <c r="B51" i="1"/>
  <c r="B52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9" i="1"/>
  <c r="B10" i="1"/>
  <c r="B11" i="1"/>
  <c r="B12" i="1"/>
  <c r="B13" i="1"/>
  <c r="B14" i="1"/>
  <c r="B15" i="1"/>
  <c r="B16" i="1"/>
  <c r="B2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9" i="1"/>
  <c r="A10" i="1"/>
  <c r="A11" i="1"/>
  <c r="A12" i="1"/>
  <c r="A13" i="1"/>
  <c r="A14" i="1"/>
  <c r="A15" i="1"/>
  <c r="A16" i="1"/>
  <c r="A17" i="1"/>
  <c r="E7" i="1"/>
  <c r="E8" i="1" l="1"/>
  <c r="E6" i="1"/>
  <c r="E5" i="1"/>
  <c r="C5" i="1" l="1"/>
  <c r="C6" i="1"/>
  <c r="C8" i="1"/>
  <c r="D5" i="1"/>
  <c r="F5" i="1"/>
  <c r="H5" i="1"/>
  <c r="D6" i="1"/>
  <c r="F6" i="1"/>
  <c r="H6" i="1"/>
  <c r="D7" i="1"/>
  <c r="F7" i="1"/>
  <c r="H7" i="1"/>
  <c r="D8" i="1"/>
  <c r="F8" i="1"/>
  <c r="D2" i="1" l="1"/>
  <c r="E2" i="1"/>
  <c r="F2" i="1"/>
  <c r="H2" i="1"/>
  <c r="C2" i="1"/>
  <c r="A2" i="1"/>
  <c r="B39" i="52" l="1"/>
  <c r="B27" i="52"/>
  <c r="B24" i="52"/>
  <c r="B22" i="52"/>
  <c r="B19" i="52"/>
  <c r="B17" i="52"/>
  <c r="B15" i="52"/>
  <c r="B13" i="52"/>
  <c r="B11" i="52"/>
  <c r="B10" i="52"/>
  <c r="B8" i="52"/>
  <c r="B6" i="52"/>
  <c r="B4" i="52"/>
  <c r="B39" i="51"/>
  <c r="B27" i="51"/>
  <c r="B24" i="51"/>
  <c r="B22" i="51"/>
  <c r="B19" i="51"/>
  <c r="B17" i="51"/>
  <c r="B15" i="51"/>
  <c r="B13" i="51"/>
  <c r="B11" i="51"/>
  <c r="B10" i="51"/>
  <c r="B8" i="51"/>
  <c r="B6" i="51"/>
  <c r="B4" i="51"/>
  <c r="B39" i="50"/>
  <c r="B27" i="50"/>
  <c r="B24" i="50"/>
  <c r="B22" i="50"/>
  <c r="B19" i="50"/>
  <c r="B17" i="50"/>
  <c r="B15" i="50"/>
  <c r="B13" i="50"/>
  <c r="B11" i="50"/>
  <c r="B10" i="50"/>
  <c r="B8" i="50"/>
  <c r="B6" i="50"/>
  <c r="B4" i="50"/>
  <c r="B39" i="49"/>
  <c r="B27" i="49"/>
  <c r="B24" i="49"/>
  <c r="B22" i="49"/>
  <c r="B19" i="49"/>
  <c r="B17" i="49"/>
  <c r="B15" i="49"/>
  <c r="B13" i="49"/>
  <c r="B11" i="49"/>
  <c r="B10" i="49"/>
  <c r="B8" i="49"/>
  <c r="B6" i="49"/>
  <c r="B4" i="49"/>
  <c r="B39" i="48"/>
  <c r="B27" i="48"/>
  <c r="B24" i="48"/>
  <c r="B22" i="48"/>
  <c r="B19" i="48"/>
  <c r="B17" i="48"/>
  <c r="B15" i="48"/>
  <c r="B13" i="48"/>
  <c r="B11" i="48"/>
  <c r="B10" i="48"/>
  <c r="B8" i="48"/>
  <c r="B6" i="48"/>
  <c r="B4" i="48"/>
  <c r="B39" i="47"/>
  <c r="B27" i="47"/>
  <c r="B24" i="47"/>
  <c r="B22" i="47"/>
  <c r="B19" i="47"/>
  <c r="B17" i="47"/>
  <c r="B15" i="47"/>
  <c r="B13" i="47"/>
  <c r="B11" i="47"/>
  <c r="B10" i="47"/>
  <c r="B8" i="47"/>
  <c r="B6" i="47"/>
  <c r="B4" i="47"/>
  <c r="B39" i="46"/>
  <c r="B27" i="46"/>
  <c r="B24" i="46"/>
  <c r="B22" i="46"/>
  <c r="B19" i="46"/>
  <c r="B17" i="46"/>
  <c r="B15" i="46"/>
  <c r="B13" i="46"/>
  <c r="B11" i="46"/>
  <c r="B10" i="46"/>
  <c r="B8" i="46"/>
  <c r="B6" i="46"/>
  <c r="B4" i="46"/>
  <c r="B39" i="45"/>
  <c r="B27" i="45"/>
  <c r="B24" i="45"/>
  <c r="B22" i="45"/>
  <c r="B19" i="45"/>
  <c r="B17" i="45"/>
  <c r="B15" i="45"/>
  <c r="B13" i="45"/>
  <c r="B11" i="45"/>
  <c r="B10" i="45"/>
  <c r="B8" i="45"/>
  <c r="B6" i="45"/>
  <c r="B4" i="45"/>
  <c r="B39" i="44"/>
  <c r="B27" i="44"/>
  <c r="B24" i="44"/>
  <c r="B22" i="44"/>
  <c r="B19" i="44"/>
  <c r="B17" i="44"/>
  <c r="B15" i="44"/>
  <c r="B13" i="44"/>
  <c r="B11" i="44"/>
  <c r="B10" i="44"/>
  <c r="B8" i="44"/>
  <c r="B6" i="44"/>
  <c r="B4" i="44"/>
  <c r="B39" i="43"/>
  <c r="B27" i="43"/>
  <c r="B24" i="43"/>
  <c r="B22" i="43"/>
  <c r="B19" i="43"/>
  <c r="B17" i="43"/>
  <c r="B15" i="43"/>
  <c r="B13" i="43"/>
  <c r="B11" i="43"/>
  <c r="B10" i="43"/>
  <c r="B8" i="43"/>
  <c r="B6" i="43"/>
  <c r="B4" i="43"/>
  <c r="B39" i="42"/>
  <c r="B27" i="42"/>
  <c r="B24" i="42"/>
  <c r="B22" i="42"/>
  <c r="B19" i="42"/>
  <c r="B17" i="42"/>
  <c r="B15" i="42"/>
  <c r="B13" i="42"/>
  <c r="B11" i="42"/>
  <c r="B10" i="42"/>
  <c r="B8" i="42"/>
  <c r="B6" i="42"/>
  <c r="B4" i="42"/>
  <c r="B39" i="41"/>
  <c r="B27" i="41"/>
  <c r="B24" i="41"/>
  <c r="B22" i="41"/>
  <c r="B19" i="41"/>
  <c r="B17" i="41"/>
  <c r="B15" i="41"/>
  <c r="B13" i="41"/>
  <c r="B11" i="41"/>
  <c r="B10" i="41"/>
  <c r="B8" i="41"/>
  <c r="B6" i="41"/>
  <c r="B4" i="41"/>
  <c r="B39" i="40"/>
  <c r="B27" i="40"/>
  <c r="B24" i="40"/>
  <c r="B22" i="40"/>
  <c r="B19" i="40"/>
  <c r="B17" i="40"/>
  <c r="B15" i="40"/>
  <c r="B13" i="40"/>
  <c r="B11" i="40"/>
  <c r="B10" i="40"/>
  <c r="B8" i="40"/>
  <c r="B6" i="40"/>
  <c r="B4" i="40"/>
  <c r="B39" i="39"/>
  <c r="B27" i="39"/>
  <c r="B24" i="39"/>
  <c r="B22" i="39"/>
  <c r="B19" i="39"/>
  <c r="B17" i="39"/>
  <c r="B15" i="39"/>
  <c r="B13" i="39"/>
  <c r="B11" i="39"/>
  <c r="B10" i="39"/>
  <c r="B8" i="39"/>
  <c r="B6" i="39"/>
  <c r="B4" i="39"/>
  <c r="B39" i="38"/>
  <c r="B27" i="38"/>
  <c r="B24" i="38"/>
  <c r="B22" i="38"/>
  <c r="B19" i="38"/>
  <c r="B17" i="38"/>
  <c r="B15" i="38"/>
  <c r="B13" i="38"/>
  <c r="B11" i="38"/>
  <c r="B10" i="38"/>
  <c r="B8" i="38"/>
  <c r="B6" i="38"/>
  <c r="B4" i="38"/>
  <c r="B39" i="37"/>
  <c r="B27" i="37"/>
  <c r="B24" i="37"/>
  <c r="B22" i="37"/>
  <c r="B19" i="37"/>
  <c r="B17" i="37"/>
  <c r="B15" i="37"/>
  <c r="B13" i="37"/>
  <c r="B11" i="37"/>
  <c r="B10" i="37"/>
  <c r="B8" i="37"/>
  <c r="B6" i="37"/>
  <c r="B4" i="37"/>
  <c r="B39" i="36"/>
  <c r="B27" i="36"/>
  <c r="B24" i="36"/>
  <c r="B22" i="36"/>
  <c r="B19" i="36"/>
  <c r="B17" i="36"/>
  <c r="B15" i="36"/>
  <c r="B13" i="36"/>
  <c r="B11" i="36"/>
  <c r="B10" i="36"/>
  <c r="B8" i="36"/>
  <c r="B6" i="36"/>
  <c r="B4" i="36"/>
  <c r="B39" i="35"/>
  <c r="B27" i="35"/>
  <c r="B24" i="35"/>
  <c r="B22" i="35"/>
  <c r="B19" i="35"/>
  <c r="B17" i="35"/>
  <c r="B15" i="35"/>
  <c r="B13" i="35"/>
  <c r="B11" i="35"/>
  <c r="B10" i="35"/>
  <c r="B8" i="35"/>
  <c r="B6" i="35"/>
  <c r="B4" i="35"/>
  <c r="B39" i="34"/>
  <c r="B27" i="34"/>
  <c r="B24" i="34"/>
  <c r="B22" i="34"/>
  <c r="B19" i="34"/>
  <c r="B17" i="34"/>
  <c r="B15" i="34"/>
  <c r="B13" i="34"/>
  <c r="B11" i="34"/>
  <c r="B10" i="34"/>
  <c r="B8" i="34"/>
  <c r="B6" i="34"/>
  <c r="B4" i="34"/>
  <c r="B39" i="33"/>
  <c r="B27" i="33"/>
  <c r="B24" i="33"/>
  <c r="B22" i="33"/>
  <c r="B19" i="33"/>
  <c r="B17" i="33"/>
  <c r="B15" i="33"/>
  <c r="B13" i="33"/>
  <c r="B11" i="33"/>
  <c r="B10" i="33"/>
  <c r="B8" i="33"/>
  <c r="B6" i="33"/>
  <c r="B4" i="33"/>
  <c r="B39" i="32"/>
  <c r="B27" i="32"/>
  <c r="B24" i="32"/>
  <c r="B22" i="32"/>
  <c r="B19" i="32"/>
  <c r="B17" i="32"/>
  <c r="B15" i="32"/>
  <c r="B13" i="32"/>
  <c r="B11" i="32"/>
  <c r="B10" i="32"/>
  <c r="B8" i="32"/>
  <c r="B6" i="32"/>
  <c r="B4" i="32"/>
  <c r="B39" i="31"/>
  <c r="B27" i="31"/>
  <c r="B24" i="31"/>
  <c r="B22" i="31"/>
  <c r="B19" i="31"/>
  <c r="B17" i="31"/>
  <c r="B15" i="31"/>
  <c r="B13" i="31"/>
  <c r="B11" i="31"/>
  <c r="B10" i="31"/>
  <c r="B8" i="31"/>
  <c r="B6" i="31"/>
  <c r="B4" i="31"/>
  <c r="B39" i="30"/>
  <c r="B27" i="30"/>
  <c r="B24" i="30"/>
  <c r="B22" i="30"/>
  <c r="B19" i="30"/>
  <c r="B17" i="30"/>
  <c r="B15" i="30"/>
  <c r="B13" i="30"/>
  <c r="B11" i="30"/>
  <c r="B10" i="30"/>
  <c r="B8" i="30"/>
  <c r="B6" i="30"/>
  <c r="B4" i="30"/>
  <c r="B39" i="29"/>
  <c r="B27" i="29"/>
  <c r="B24" i="29"/>
  <c r="B22" i="29"/>
  <c r="B19" i="29"/>
  <c r="B17" i="29"/>
  <c r="B15" i="29"/>
  <c r="B13" i="29"/>
  <c r="B11" i="29"/>
  <c r="B10" i="29"/>
  <c r="B8" i="29"/>
  <c r="B6" i="29"/>
  <c r="B4" i="29"/>
  <c r="B39" i="28"/>
  <c r="B27" i="28"/>
  <c r="B24" i="28"/>
  <c r="B22" i="28"/>
  <c r="B19" i="28"/>
  <c r="B17" i="28"/>
  <c r="B15" i="28"/>
  <c r="B13" i="28"/>
  <c r="B11" i="28"/>
  <c r="B10" i="28"/>
  <c r="B8" i="28"/>
  <c r="B6" i="28"/>
  <c r="B4" i="28"/>
  <c r="B39" i="27"/>
  <c r="B27" i="27"/>
  <c r="B24" i="27"/>
  <c r="B22" i="27"/>
  <c r="B19" i="27"/>
  <c r="B17" i="27"/>
  <c r="B15" i="27"/>
  <c r="B13" i="27"/>
  <c r="B11" i="27"/>
  <c r="B10" i="27"/>
  <c r="B8" i="27"/>
  <c r="B6" i="27"/>
  <c r="B4" i="27"/>
  <c r="B39" i="26"/>
  <c r="B27" i="26"/>
  <c r="B24" i="26"/>
  <c r="B22" i="26"/>
  <c r="B19" i="26"/>
  <c r="B17" i="26"/>
  <c r="B15" i="26"/>
  <c r="B13" i="26"/>
  <c r="B11" i="26"/>
  <c r="B10" i="26"/>
  <c r="B8" i="26"/>
  <c r="B6" i="26"/>
  <c r="B4" i="26"/>
  <c r="B39" i="25"/>
  <c r="B27" i="25"/>
  <c r="B24" i="25"/>
  <c r="B22" i="25"/>
  <c r="B19" i="25"/>
  <c r="B17" i="25"/>
  <c r="B15" i="25"/>
  <c r="B13" i="25"/>
  <c r="B11" i="25"/>
  <c r="B10" i="25"/>
  <c r="B8" i="25"/>
  <c r="B6" i="25"/>
  <c r="B4" i="25"/>
  <c r="B39" i="24"/>
  <c r="B27" i="24"/>
  <c r="B24" i="24"/>
  <c r="B22" i="24"/>
  <c r="B19" i="24"/>
  <c r="B17" i="24"/>
  <c r="B15" i="24"/>
  <c r="B13" i="24"/>
  <c r="B11" i="24"/>
  <c r="B10" i="24"/>
  <c r="B8" i="24"/>
  <c r="B6" i="24"/>
  <c r="B4" i="24"/>
  <c r="B39" i="23"/>
  <c r="B27" i="23"/>
  <c r="B24" i="23"/>
  <c r="B22" i="23"/>
  <c r="B19" i="23"/>
  <c r="B17" i="23"/>
  <c r="B15" i="23"/>
  <c r="B13" i="23"/>
  <c r="B11" i="23"/>
  <c r="B10" i="23"/>
  <c r="B8" i="23"/>
  <c r="B6" i="23"/>
  <c r="B4" i="23"/>
  <c r="B39" i="22"/>
  <c r="B27" i="22"/>
  <c r="B24" i="22"/>
  <c r="B22" i="22"/>
  <c r="B19" i="22"/>
  <c r="B17" i="22"/>
  <c r="B15" i="22"/>
  <c r="B13" i="22"/>
  <c r="B11" i="22"/>
  <c r="B10" i="22"/>
  <c r="B8" i="22"/>
  <c r="B6" i="22"/>
  <c r="B4" i="22"/>
  <c r="B39" i="21"/>
  <c r="B27" i="21"/>
  <c r="B24" i="21"/>
  <c r="B22" i="21"/>
  <c r="B19" i="21"/>
  <c r="B17" i="21"/>
  <c r="B15" i="21"/>
  <c r="B13" i="21"/>
  <c r="B11" i="21"/>
  <c r="B10" i="21"/>
  <c r="B8" i="21"/>
  <c r="B6" i="21"/>
  <c r="B4" i="21"/>
  <c r="B39" i="20"/>
  <c r="B27" i="20"/>
  <c r="B24" i="20"/>
  <c r="B22" i="20"/>
  <c r="B19" i="20"/>
  <c r="B17" i="20"/>
  <c r="B15" i="20"/>
  <c r="B13" i="20"/>
  <c r="B11" i="20"/>
  <c r="B10" i="20"/>
  <c r="B8" i="20"/>
  <c r="B6" i="20"/>
  <c r="B4" i="20"/>
  <c r="B39" i="19"/>
  <c r="B27" i="19"/>
  <c r="B24" i="19"/>
  <c r="B22" i="19"/>
  <c r="B19" i="19"/>
  <c r="B17" i="19"/>
  <c r="B15" i="19"/>
  <c r="B13" i="19"/>
  <c r="B11" i="19"/>
  <c r="B10" i="19"/>
  <c r="B8" i="19"/>
  <c r="B6" i="19"/>
  <c r="B4" i="19"/>
  <c r="B39" i="18"/>
  <c r="B27" i="18"/>
  <c r="B24" i="18"/>
  <c r="B22" i="18"/>
  <c r="B19" i="18"/>
  <c r="B17" i="18"/>
  <c r="B15" i="18"/>
  <c r="B13" i="18"/>
  <c r="B11" i="18"/>
  <c r="B10" i="18"/>
  <c r="B8" i="18"/>
  <c r="B6" i="18"/>
  <c r="B4" i="18"/>
  <c r="B39" i="17"/>
  <c r="B27" i="17"/>
  <c r="B24" i="17"/>
  <c r="B22" i="17"/>
  <c r="B19" i="17"/>
  <c r="B17" i="17"/>
  <c r="B15" i="17"/>
  <c r="B13" i="17"/>
  <c r="B11" i="17"/>
  <c r="B10" i="17"/>
  <c r="B8" i="17"/>
  <c r="B6" i="17"/>
  <c r="B4" i="17"/>
  <c r="B39" i="16"/>
  <c r="B27" i="16"/>
  <c r="B24" i="16"/>
  <c r="B22" i="16"/>
  <c r="B19" i="16"/>
  <c r="B17" i="16"/>
  <c r="B15" i="16"/>
  <c r="B13" i="16"/>
  <c r="B11" i="16"/>
  <c r="B10" i="16"/>
  <c r="B8" i="16"/>
  <c r="B6" i="16"/>
  <c r="B4" i="16"/>
  <c r="B39" i="15"/>
  <c r="B27" i="15"/>
  <c r="B24" i="15"/>
  <c r="B22" i="15"/>
  <c r="B19" i="15"/>
  <c r="B17" i="15"/>
  <c r="B15" i="15"/>
  <c r="B13" i="15"/>
  <c r="B11" i="15"/>
  <c r="B10" i="15"/>
  <c r="B8" i="15"/>
  <c r="B6" i="15"/>
  <c r="B4" i="15"/>
  <c r="B39" i="14"/>
  <c r="B27" i="14"/>
  <c r="B24" i="14"/>
  <c r="B22" i="14"/>
  <c r="B19" i="14"/>
  <c r="B17" i="14"/>
  <c r="B15" i="14"/>
  <c r="B13" i="14"/>
  <c r="B11" i="14"/>
  <c r="B10" i="14"/>
  <c r="B8" i="14"/>
  <c r="B6" i="14"/>
  <c r="B4" i="14"/>
  <c r="B39" i="13"/>
  <c r="B27" i="13"/>
  <c r="B24" i="13"/>
  <c r="B22" i="13"/>
  <c r="B19" i="13"/>
  <c r="B17" i="13"/>
  <c r="B15" i="13"/>
  <c r="B13" i="13"/>
  <c r="B11" i="13"/>
  <c r="B10" i="13"/>
  <c r="B8" i="13"/>
  <c r="B6" i="13"/>
  <c r="B4" i="13"/>
  <c r="B39" i="12"/>
  <c r="B27" i="12"/>
  <c r="B17" i="12"/>
  <c r="B11" i="12"/>
  <c r="B8" i="12"/>
  <c r="B24" i="12"/>
  <c r="B22" i="12"/>
  <c r="B19" i="12"/>
  <c r="B15" i="12"/>
  <c r="B13" i="12"/>
  <c r="B10" i="12"/>
  <c r="B6" i="12"/>
  <c r="B4" i="12"/>
  <c r="B39" i="11"/>
  <c r="B27" i="11"/>
  <c r="B17" i="11"/>
  <c r="B11" i="11"/>
  <c r="B8" i="11"/>
  <c r="B24" i="11"/>
  <c r="B22" i="11"/>
  <c r="B19" i="11"/>
  <c r="B15" i="11"/>
  <c r="B13" i="11"/>
  <c r="B10" i="11"/>
  <c r="B6" i="11"/>
  <c r="B4" i="11"/>
  <c r="B39" i="10"/>
  <c r="B27" i="10"/>
  <c r="B17" i="10"/>
  <c r="B11" i="10"/>
  <c r="B8" i="10"/>
  <c r="B24" i="10"/>
  <c r="B22" i="10"/>
  <c r="B19" i="10"/>
  <c r="B15" i="10"/>
  <c r="B13" i="10"/>
  <c r="B10" i="10"/>
  <c r="B6" i="10"/>
  <c r="B4" i="10"/>
  <c r="B39" i="9"/>
  <c r="B27" i="9"/>
  <c r="B17" i="9"/>
  <c r="B11" i="9"/>
  <c r="B8" i="9"/>
  <c r="B24" i="9"/>
  <c r="B22" i="9"/>
  <c r="B19" i="9"/>
  <c r="B15" i="9"/>
  <c r="B13" i="9"/>
  <c r="B10" i="9"/>
  <c r="B6" i="9"/>
  <c r="B4" i="9"/>
  <c r="B11" i="8"/>
  <c r="B39" i="8"/>
  <c r="B27" i="8"/>
  <c r="B17" i="8"/>
  <c r="B8" i="8"/>
  <c r="B24" i="8"/>
  <c r="B22" i="8"/>
  <c r="B19" i="8"/>
  <c r="B15" i="8"/>
  <c r="B13" i="8"/>
  <c r="B10" i="8"/>
  <c r="B6" i="8"/>
  <c r="B4" i="8"/>
  <c r="B39" i="5"/>
  <c r="B10" i="5"/>
  <c r="B27" i="5"/>
  <c r="B24" i="5"/>
  <c r="B22" i="5"/>
  <c r="B19" i="5"/>
  <c r="B17" i="5"/>
  <c r="B15" i="5"/>
  <c r="B13" i="5"/>
  <c r="B11" i="5"/>
  <c r="B8" i="5"/>
  <c r="B6" i="5"/>
  <c r="B4" i="5"/>
  <c r="B27" i="6"/>
  <c r="B4" i="7"/>
  <c r="B4" i="6"/>
  <c r="B39" i="6"/>
  <c r="B24" i="6"/>
  <c r="B22" i="6"/>
  <c r="B19" i="6"/>
  <c r="B17" i="6"/>
  <c r="B15" i="6"/>
  <c r="B13" i="6"/>
  <c r="B11" i="6"/>
  <c r="B10" i="6"/>
  <c r="B8" i="6"/>
  <c r="B6" i="6"/>
  <c r="B27" i="7"/>
  <c r="B39" i="7"/>
  <c r="B24" i="7"/>
  <c r="B22" i="7"/>
  <c r="B19" i="7"/>
  <c r="B17" i="7"/>
  <c r="B15" i="7"/>
  <c r="B13" i="7"/>
  <c r="B11" i="7"/>
  <c r="B10" i="7"/>
  <c r="B8" i="7"/>
  <c r="B6" i="7"/>
  <c r="B27" i="4"/>
  <c r="B17" i="4"/>
  <c r="B11" i="4"/>
  <c r="B39" i="4"/>
  <c r="B8" i="4"/>
  <c r="B24" i="4"/>
  <c r="B22" i="4"/>
  <c r="B19" i="4"/>
  <c r="B15" i="4"/>
  <c r="B13" i="4"/>
  <c r="B10" i="4"/>
  <c r="B6" i="4"/>
  <c r="B39" i="3"/>
  <c r="B27" i="3"/>
  <c r="B24" i="3"/>
  <c r="B17" i="3"/>
  <c r="B22" i="3"/>
  <c r="B19" i="3"/>
  <c r="B15" i="3"/>
  <c r="B13" i="3"/>
  <c r="B11" i="3"/>
  <c r="B10" i="3"/>
  <c r="B8" i="3"/>
  <c r="B6" i="3"/>
</calcChain>
</file>

<file path=xl/sharedStrings.xml><?xml version="1.0" encoding="utf-8"?>
<sst xmlns="http://schemas.openxmlformats.org/spreadsheetml/2006/main" count="2223" uniqueCount="131">
  <si>
    <t>N/A</t>
  </si>
  <si>
    <t>No.</t>
  </si>
  <si>
    <t>Date of Transaction</t>
  </si>
  <si>
    <t>Bill To (Payer)</t>
  </si>
  <si>
    <t>Beneficiary Name</t>
  </si>
  <si>
    <t>Account number of Beneficiary</t>
  </si>
  <si>
    <t xml:space="preserve">Beneficiary Bank </t>
  </si>
  <si>
    <t xml:space="preserve">City, Country of Bank Beneficiary </t>
  </si>
  <si>
    <t xml:space="preserve">Amounts </t>
  </si>
  <si>
    <t xml:space="preserve">Country of Beneficiary </t>
  </si>
  <si>
    <t xml:space="preserve">City of Beneficiary </t>
  </si>
  <si>
    <t>Complete Address of Beneficiary Account</t>
  </si>
  <si>
    <t xml:space="preserve">Swift </t>
  </si>
  <si>
    <t xml:space="preserve">Payment details 1 </t>
  </si>
  <si>
    <t xml:space="preserve">Currency </t>
  </si>
  <si>
    <t>Name correspondence Bank</t>
  </si>
  <si>
    <t>Swift Bank Corr</t>
  </si>
  <si>
    <t>City, Country Bank Corr</t>
  </si>
  <si>
    <t>Заявление на валютный перевод</t>
  </si>
  <si>
    <t>Заполняется клиентом</t>
  </si>
  <si>
    <t xml:space="preserve">VALUE DATE </t>
  </si>
  <si>
    <t>Дата платежа</t>
  </si>
  <si>
    <t>AMOUNT *</t>
  </si>
  <si>
    <t>сумма</t>
  </si>
  <si>
    <t>currency *</t>
  </si>
  <si>
    <t>валюта</t>
  </si>
  <si>
    <t xml:space="preserve">BILL TO </t>
  </si>
  <si>
    <t>Beneficiary *</t>
  </si>
  <si>
    <t>получатель</t>
  </si>
  <si>
    <t>Beneficiary COUNTRY*</t>
  </si>
  <si>
    <t>Страна получателя</t>
  </si>
  <si>
    <t>Beneficiary address *</t>
  </si>
  <si>
    <t>Адрес получателя</t>
  </si>
  <si>
    <t>ACCOUNT *</t>
  </si>
  <si>
    <t>Номер счета или IBAN код</t>
  </si>
  <si>
    <t>BENEF.BANK *</t>
  </si>
  <si>
    <t>Банк получателя</t>
  </si>
  <si>
    <t>ADDRESS</t>
  </si>
  <si>
    <t>Адрес банка получателя</t>
  </si>
  <si>
    <t>SWIFT *</t>
  </si>
  <si>
    <t>Cвифт Банка получателя</t>
  </si>
  <si>
    <t>BLZ, ABA, SORT CODE</t>
  </si>
  <si>
    <t>CORR.BANK</t>
  </si>
  <si>
    <t>Банк корреспондент</t>
  </si>
  <si>
    <t>Адрес банка корреспондента</t>
  </si>
  <si>
    <t>SWIFT</t>
  </si>
  <si>
    <t>Свифт банка корреспондента</t>
  </si>
  <si>
    <t>ACCOUNT</t>
  </si>
  <si>
    <t>Счет банка получателя в банке корреспонденте</t>
  </si>
  <si>
    <t>PAYMENT DETAILS *</t>
  </si>
  <si>
    <t>назначение платежа</t>
  </si>
  <si>
    <t>(обязательно указать категорию товара!)</t>
  </si>
  <si>
    <t>комиссия за счет</t>
  </si>
  <si>
    <t>OUR</t>
  </si>
  <si>
    <t>Nomor Rekening</t>
  </si>
  <si>
    <t>Alamat payer</t>
  </si>
  <si>
    <t>Kota Payer</t>
  </si>
  <si>
    <t>Negara Payer</t>
  </si>
  <si>
    <t>DEPOK</t>
  </si>
  <si>
    <t>INDONESIA</t>
  </si>
  <si>
    <t>NAMA</t>
  </si>
  <si>
    <t>ALAMAT</t>
  </si>
  <si>
    <t>KOTA</t>
  </si>
  <si>
    <t>NEGARA</t>
  </si>
  <si>
    <t>NOMOR REKENING</t>
  </si>
  <si>
    <t>JAKARTA</t>
  </si>
  <si>
    <t>PT KAIROS SINERGI INDONESIA</t>
  </si>
  <si>
    <t>BANDUNG</t>
  </si>
  <si>
    <t>A||PNBPUS3NNYC</t>
  </si>
  <si>
    <t>Jl Setrasari Mega Square B 18 Sukagalih Sukajadi Bandung</t>
  </si>
  <si>
    <t>remit.service09@gmail.com</t>
  </si>
  <si>
    <t xml:space="preserve">PT JURITA AGROTAMA INDONESIA </t>
  </si>
  <si>
    <t xml:space="preserve">Jln Hanjawar Pacet No 99 Cipendawa Cianjur </t>
  </si>
  <si>
    <t xml:space="preserve">Menara Rajawali Lt 6 Jln Dr Ide Anak Agung Gde Agung Jakarta </t>
  </si>
  <si>
    <t>PT MERAPI SEMESTA INDONESIA</t>
  </si>
  <si>
    <t>AXA Tower City Jln Prof Dr Satrio Kav 18 Karet Kuningan Jaksel</t>
  </si>
  <si>
    <t xml:space="preserve">Jln Siliwangi No 5B Pancoran Mas Depok </t>
  </si>
  <si>
    <t>E0|N|199</t>
  </si>
  <si>
    <t>PAYMENT ORDER</t>
  </si>
  <si>
    <t>Filled by the customer</t>
  </si>
  <si>
    <t>14/04/2026</t>
  </si>
  <si>
    <t>Commision</t>
  </si>
  <si>
    <t>29/04/2026</t>
  </si>
  <si>
    <t>USD</t>
  </si>
  <si>
    <t>050229000007305</t>
  </si>
  <si>
    <t xml:space="preserve">PT GOSYEN TRADE INTERNATIONAL </t>
  </si>
  <si>
    <t xml:space="preserve">PT EKAWIRA FAZWAN SENTRAL </t>
  </si>
  <si>
    <t>CIANJUR</t>
  </si>
  <si>
    <t xml:space="preserve">Menara Rajawali Lt 16 Jln Dr Ide Anak Agung Gde Agung Jakarta </t>
  </si>
  <si>
    <t xml:space="preserve">EUR </t>
  </si>
  <si>
    <t>CNY</t>
  </si>
  <si>
    <t xml:space="preserve">AED </t>
  </si>
  <si>
    <t>JPY</t>
  </si>
  <si>
    <t>MYR</t>
  </si>
  <si>
    <t>SGD</t>
  </si>
  <si>
    <t>050202000019300</t>
  </si>
  <si>
    <t>050218000010307</t>
  </si>
  <si>
    <t>050228000007309</t>
  </si>
  <si>
    <t>050202000021307</t>
  </si>
  <si>
    <t>050202000015306</t>
  </si>
  <si>
    <t>050218000005302</t>
  </si>
  <si>
    <t>050229000002305</t>
  </si>
  <si>
    <t>050228000002309</t>
  </si>
  <si>
    <t>050202000016302</t>
  </si>
  <si>
    <t>050218000006308</t>
  </si>
  <si>
    <t>050229000003301</t>
  </si>
  <si>
    <t>050228000003305</t>
  </si>
  <si>
    <t>050202000017308</t>
  </si>
  <si>
    <t>050218000007304</t>
  </si>
  <si>
    <t>050229000004307</t>
  </si>
  <si>
    <t>050228000004301</t>
  </si>
  <si>
    <t>050204000004307</t>
  </si>
  <si>
    <t>050203000004301</t>
  </si>
  <si>
    <t>GBP</t>
  </si>
  <si>
    <t>050205000006305</t>
  </si>
  <si>
    <t>050202000014300</t>
  </si>
  <si>
    <t>050218000004306</t>
  </si>
  <si>
    <t>050229000001309</t>
  </si>
  <si>
    <t>050228000001303</t>
  </si>
  <si>
    <t>050202000020301</t>
  </si>
  <si>
    <t>050218000009306</t>
  </si>
  <si>
    <t>050229000010308</t>
  </si>
  <si>
    <t>050228000005307</t>
  </si>
  <si>
    <t>050218000008300</t>
  </si>
  <si>
    <t>050229000006309</t>
  </si>
  <si>
    <t>050228000006303</t>
  </si>
  <si>
    <t>050204000005303</t>
  </si>
  <si>
    <t>050208000001507</t>
  </si>
  <si>
    <t>PT FABLE TEKNOLGI NUSANTARA</t>
  </si>
  <si>
    <t>PT GEMA SAPTA BINTANG</t>
  </si>
  <si>
    <t>NAMA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</si>
</sst>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dd/mm/yyyy;@"/>
    <numFmt numFmtId="167" formatCode="dd/mm/yy;@"/>
    <numFmt numFmtId="168" formatCode="#,##0.00_ ;[Red]\-#,##0.00\ "/>
  </numFmts>
  <fonts count="4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0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Arial Cyr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</font>
    <font>
      <b/>
      <sz val="12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lightGray">
        <fgColor rgb="FF000000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F4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8">
    <xf numFmtId="0" fontId="0" fillId="0" borderId="0"/>
    <xf numFmtId="0" fontId="10" fillId="0" borderId="0"/>
    <xf numFmtId="0" fontId="11" fillId="0" borderId="0"/>
    <xf numFmtId="0" fontId="17" fillId="0" borderId="0" applyNumberForma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4" fillId="0" borderId="0"/>
    <xf numFmtId="0" fontId="32" fillId="0" borderId="0" applyBorder="0"/>
    <xf numFmtId="0" fontId="34" fillId="0" borderId="0"/>
    <xf numFmtId="0" fontId="2" fillId="0" borderId="0"/>
    <xf numFmtId="0" fontId="10" fillId="0" borderId="0"/>
    <xf numFmtId="0" fontId="32" fillId="0" borderId="0" applyBorder="0"/>
    <xf numFmtId="0" fontId="1" fillId="0" borderId="0"/>
  </cellStyleXfs>
  <cellXfs count="158">
    <xf numFmtId="0" fontId="0" fillId="0" borderId="0" xfId="0"/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8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9" fillId="0" borderId="0" xfId="3" applyFont="1"/>
    <xf numFmtId="0" fontId="21" fillId="2" borderId="1" xfId="1" applyFont="1" applyFill="1" applyBorder="1" applyAlignment="1">
      <alignment horizontal="center" vertical="center"/>
    </xf>
    <xf numFmtId="0" fontId="6" fillId="0" borderId="0" xfId="0" applyFont="1"/>
    <xf numFmtId="0" fontId="20" fillId="4" borderId="1" xfId="0" applyFont="1" applyFill="1" applyBorder="1"/>
    <xf numFmtId="3" fontId="22" fillId="0" borderId="1" xfId="0" applyNumberFormat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8" fillId="0" borderId="0" xfId="3" applyFont="1"/>
    <xf numFmtId="0" fontId="27" fillId="0" borderId="0" xfId="0" applyFont="1" applyBorder="1"/>
    <xf numFmtId="3" fontId="18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30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3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3" fontId="22" fillId="6" borderId="1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49" fontId="18" fillId="6" borderId="1" xfId="0" applyNumberFormat="1" applyFont="1" applyFill="1" applyBorder="1" applyAlignment="1">
      <alignment horizontal="left" vertical="center" wrapText="1"/>
    </xf>
    <xf numFmtId="0" fontId="18" fillId="6" borderId="1" xfId="0" quotePrefix="1" applyFont="1" applyFill="1" applyBorder="1" applyAlignment="1">
      <alignment vertical="center"/>
    </xf>
    <xf numFmtId="0" fontId="4" fillId="6" borderId="1" xfId="4" applyFont="1" applyFill="1" applyBorder="1"/>
    <xf numFmtId="49" fontId="18" fillId="6" borderId="5" xfId="0" applyNumberFormat="1" applyFont="1" applyFill="1" applyBorder="1" applyAlignment="1">
      <alignment horizontal="left" vertical="center" wrapText="1"/>
    </xf>
    <xf numFmtId="49" fontId="18" fillId="6" borderId="9" xfId="0" applyNumberFormat="1" applyFont="1" applyFill="1" applyBorder="1" applyAlignment="1">
      <alignment horizontal="left" vertical="center" wrapText="1"/>
    </xf>
    <xf numFmtId="0" fontId="5" fillId="6" borderId="1" xfId="4" applyFont="1" applyFill="1" applyBorder="1"/>
    <xf numFmtId="0" fontId="7" fillId="6" borderId="1" xfId="4" applyFont="1" applyFill="1" applyBorder="1"/>
    <xf numFmtId="3" fontId="18" fillId="6" borderId="5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left" vertical="center" wrapText="1"/>
    </xf>
    <xf numFmtId="0" fontId="0" fillId="6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/>
    </xf>
    <xf numFmtId="0" fontId="27" fillId="2" borderId="1" xfId="2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1" xfId="4" applyFill="1" applyBorder="1" applyAlignment="1">
      <alignment horizontal="left" vertical="center"/>
    </xf>
    <xf numFmtId="0" fontId="9" fillId="2" borderId="1" xfId="4" applyFill="1" applyBorder="1" applyAlignment="1">
      <alignment horizontal="center" vertical="center"/>
    </xf>
    <xf numFmtId="3" fontId="22" fillId="0" borderId="6" xfId="0" applyNumberFormat="1" applyFont="1" applyBorder="1" applyAlignment="1">
      <alignment horizontal="center" vertical="center" wrapText="1"/>
    </xf>
    <xf numFmtId="0" fontId="0" fillId="6" borderId="1" xfId="0" quotePrefix="1" applyFill="1" applyBorder="1"/>
    <xf numFmtId="0" fontId="33" fillId="6" borderId="11" xfId="0" applyFont="1" applyFill="1" applyBorder="1" applyAlignment="1">
      <alignment wrapText="1"/>
    </xf>
    <xf numFmtId="0" fontId="33" fillId="6" borderId="11" xfId="0" applyFont="1" applyFill="1" applyBorder="1" applyAlignment="1">
      <alignment horizontal="right" wrapText="1"/>
    </xf>
    <xf numFmtId="49" fontId="23" fillId="6" borderId="1" xfId="0" applyNumberFormat="1" applyFont="1" applyFill="1" applyBorder="1" applyAlignment="1">
      <alignment horizontal="center" vertical="center" wrapText="1"/>
    </xf>
    <xf numFmtId="4" fontId="23" fillId="6" borderId="5" xfId="0" applyNumberFormat="1" applyFont="1" applyFill="1" applyBorder="1" applyAlignment="1">
      <alignment horizontal="center" vertical="center" wrapText="1"/>
    </xf>
    <xf numFmtId="49" fontId="25" fillId="6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left" vertical="center" wrapText="1"/>
    </xf>
    <xf numFmtId="0" fontId="8" fillId="6" borderId="1" xfId="0" applyFont="1" applyFill="1" applyBorder="1"/>
    <xf numFmtId="49" fontId="20" fillId="6" borderId="1" xfId="0" applyNumberFormat="1" applyFont="1" applyFill="1" applyBorder="1" applyAlignment="1">
      <alignment horizontal="left" vertical="center" wrapText="1"/>
    </xf>
    <xf numFmtId="4" fontId="23" fillId="6" borderId="1" xfId="0" applyNumberFormat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49" fontId="26" fillId="6" borderId="1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49" fontId="20" fillId="6" borderId="1" xfId="0" applyNumberFormat="1" applyFont="1" applyFill="1" applyBorder="1" applyAlignment="1">
      <alignment horizontal="center" vertical="center" wrapText="1"/>
    </xf>
    <xf numFmtId="49" fontId="20" fillId="6" borderId="1" xfId="2" applyNumberFormat="1" applyFont="1" applyFill="1" applyBorder="1" applyAlignment="1">
      <alignment horizontal="center" vertical="center" wrapText="1"/>
    </xf>
    <xf numFmtId="168" fontId="20" fillId="6" borderId="1" xfId="0" applyNumberFormat="1" applyFont="1" applyFill="1" applyBorder="1" applyAlignment="1">
      <alignment horizontal="center" vertical="center" wrapText="1"/>
    </xf>
    <xf numFmtId="0" fontId="20" fillId="6" borderId="1" xfId="2" applyFont="1" applyFill="1" applyBorder="1" applyAlignment="1">
      <alignment horizontal="center" vertical="center" wrapText="1"/>
    </xf>
    <xf numFmtId="49" fontId="20" fillId="6" borderId="1" xfId="0" applyNumberFormat="1" applyFont="1" applyFill="1" applyBorder="1" applyAlignment="1">
      <alignment horizontal="center" wrapText="1" shrinkToFit="1"/>
    </xf>
    <xf numFmtId="0" fontId="20" fillId="6" borderId="1" xfId="0" applyFont="1" applyFill="1" applyBorder="1" applyAlignment="1">
      <alignment horizontal="center" vertical="center" wrapText="1"/>
    </xf>
    <xf numFmtId="49" fontId="20" fillId="6" borderId="5" xfId="0" applyNumberFormat="1" applyFont="1" applyFill="1" applyBorder="1" applyAlignment="1">
      <alignment horizontal="center" vertical="center" wrapText="1"/>
    </xf>
    <xf numFmtId="49" fontId="20" fillId="6" borderId="1" xfId="22" applyNumberFormat="1" applyFont="1" applyFill="1" applyBorder="1" applyAlignment="1">
      <alignment wrapText="1" shrinkToFit="1"/>
    </xf>
    <xf numFmtId="49" fontId="20" fillId="6" borderId="1" xfId="22" applyNumberFormat="1" applyFont="1" applyFill="1" applyBorder="1" applyAlignment="1">
      <alignment horizontal="center" wrapText="1" shrinkToFit="1"/>
    </xf>
    <xf numFmtId="49" fontId="20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 shrinkToFit="1"/>
    </xf>
    <xf numFmtId="4" fontId="23" fillId="5" borderId="5" xfId="0" applyNumberFormat="1" applyFont="1" applyFill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 shrinkToFit="1"/>
    </xf>
    <xf numFmtId="0" fontId="26" fillId="0" borderId="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top" wrapText="1"/>
    </xf>
    <xf numFmtId="0" fontId="13" fillId="0" borderId="11" xfId="0" applyFont="1" applyBorder="1" applyAlignment="1">
      <alignment horizontal="center" vertical="top" wrapText="1"/>
    </xf>
    <xf numFmtId="4" fontId="13" fillId="5" borderId="11" xfId="0" applyNumberFormat="1" applyFont="1" applyFill="1" applyBorder="1" applyAlignment="1">
      <alignment horizontal="right" vertical="top" wrapText="1"/>
    </xf>
    <xf numFmtId="49" fontId="20" fillId="0" borderId="1" xfId="23" applyNumberFormat="1" applyFont="1" applyBorder="1" applyAlignment="1">
      <alignment horizontal="center" vertical="center" wrapText="1"/>
    </xf>
    <xf numFmtId="168" fontId="20" fillId="5" borderId="1" xfId="23" applyNumberFormat="1" applyFont="1" applyFill="1" applyBorder="1" applyAlignment="1">
      <alignment horizontal="center" vertical="center" wrapText="1"/>
    </xf>
    <xf numFmtId="49" fontId="35" fillId="0" borderId="1" xfId="23" applyNumberFormat="1" applyFont="1" applyBorder="1" applyAlignment="1">
      <alignment horizontal="center" vertical="center" wrapText="1"/>
    </xf>
    <xf numFmtId="49" fontId="26" fillId="0" borderId="1" xfId="23" applyNumberFormat="1" applyFont="1" applyBorder="1" applyAlignment="1">
      <alignment wrapText="1" shrinkToFit="1"/>
    </xf>
    <xf numFmtId="0" fontId="37" fillId="4" borderId="1" xfId="0" applyFont="1" applyFill="1" applyBorder="1"/>
    <xf numFmtId="0" fontId="37" fillId="2" borderId="1" xfId="4" applyFont="1" applyFill="1" applyBorder="1" applyAlignment="1">
      <alignment horizontal="center" vertical="center"/>
    </xf>
    <xf numFmtId="49" fontId="36" fillId="6" borderId="1" xfId="0" applyNumberFormat="1" applyFont="1" applyFill="1" applyBorder="1" applyAlignment="1">
      <alignment horizontal="left" vertical="center" wrapText="1"/>
    </xf>
    <xf numFmtId="0" fontId="37" fillId="6" borderId="1" xfId="0" applyFont="1" applyFill="1" applyBorder="1"/>
    <xf numFmtId="0" fontId="21" fillId="2" borderId="5" xfId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4" applyFont="1" applyFill="1" applyBorder="1" applyAlignment="1">
      <alignment horizontal="left" vertical="center"/>
    </xf>
    <xf numFmtId="0" fontId="39" fillId="2" borderId="1" xfId="4" applyFont="1" applyFill="1" applyBorder="1" applyAlignment="1">
      <alignment horizontal="center" vertical="center"/>
    </xf>
    <xf numFmtId="0" fontId="27" fillId="2" borderId="1" xfId="4" applyFont="1" applyFill="1" applyBorder="1" applyAlignment="1">
      <alignment horizontal="center" vertical="center"/>
    </xf>
    <xf numFmtId="0" fontId="27" fillId="7" borderId="1" xfId="4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37" fillId="6" borderId="1" xfId="4" applyFont="1" applyFill="1" applyBorder="1" applyAlignment="1">
      <alignment vertical="center"/>
    </xf>
    <xf numFmtId="0" fontId="1" fillId="6" borderId="1" xfId="4" applyFont="1" applyFill="1" applyBorder="1" applyAlignment="1">
      <alignment vertical="center"/>
    </xf>
    <xf numFmtId="0" fontId="1" fillId="6" borderId="1" xfId="4" quotePrefix="1" applyFont="1" applyFill="1" applyBorder="1" applyAlignment="1">
      <alignment vertical="center"/>
    </xf>
    <xf numFmtId="0" fontId="0" fillId="6" borderId="1" xfId="0" quotePrefix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6" borderId="1" xfId="0" quotePrefix="1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4" fillId="6" borderId="1" xfId="4" applyFont="1" applyFill="1" applyBorder="1" applyAlignment="1">
      <alignment vertical="center"/>
    </xf>
    <xf numFmtId="0" fontId="27" fillId="2" borderId="2" xfId="4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wrapText="1" shrinkToFit="1"/>
    </xf>
    <xf numFmtId="49" fontId="38" fillId="0" borderId="1" xfId="0" applyNumberFormat="1" applyFont="1" applyBorder="1" applyAlignment="1">
      <alignment horizontal="left" vertical="center" wrapText="1"/>
    </xf>
    <xf numFmtId="4" fontId="23" fillId="8" borderId="1" xfId="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vertical="center" wrapText="1"/>
    </xf>
    <xf numFmtId="49" fontId="38" fillId="0" borderId="1" xfId="0" applyNumberFormat="1" applyFont="1" applyBorder="1" applyAlignment="1">
      <alignment vertical="center" wrapText="1"/>
    </xf>
    <xf numFmtId="49" fontId="41" fillId="0" borderId="1" xfId="0" applyNumberFormat="1" applyFont="1" applyBorder="1" applyAlignment="1">
      <alignment horizontal="left" vertical="center" wrapText="1"/>
    </xf>
    <xf numFmtId="0" fontId="37" fillId="9" borderId="1" xfId="0" applyFont="1" applyFill="1" applyBorder="1" applyAlignment="1">
      <alignment horizontal="left" vertical="center"/>
    </xf>
    <xf numFmtId="0" fontId="37" fillId="10" borderId="1" xfId="4" applyFont="1" applyFill="1" applyBorder="1" applyAlignment="1">
      <alignment horizontal="left" vertical="center"/>
    </xf>
    <xf numFmtId="0" fontId="37" fillId="7" borderId="1" xfId="4" applyFont="1" applyFill="1" applyBorder="1" applyAlignment="1">
      <alignment horizontal="left" vertical="center"/>
    </xf>
    <xf numFmtId="0" fontId="37" fillId="11" borderId="1" xfId="4" applyFont="1" applyFill="1" applyBorder="1" applyAlignment="1">
      <alignment horizontal="left" vertical="center"/>
    </xf>
    <xf numFmtId="0" fontId="37" fillId="4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justify" vertical="center"/>
    </xf>
    <xf numFmtId="0" fontId="37" fillId="13" borderId="1" xfId="0" applyFont="1" applyFill="1" applyBorder="1" applyAlignment="1">
      <alignment horizontal="left" vertical="center"/>
    </xf>
    <xf numFmtId="0" fontId="27" fillId="7" borderId="2" xfId="4" applyFont="1" applyFill="1" applyBorder="1" applyAlignment="1">
      <alignment horizontal="center" vertical="center"/>
    </xf>
    <xf numFmtId="0" fontId="27" fillId="7" borderId="12" xfId="4" applyFont="1" applyFill="1" applyBorder="1" applyAlignment="1">
      <alignment horizontal="center" vertical="center"/>
    </xf>
    <xf numFmtId="0" fontId="27" fillId="7" borderId="7" xfId="4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left" vertical="center" wrapText="1"/>
    </xf>
    <xf numFmtId="2" fontId="13" fillId="0" borderId="1" xfId="0" applyNumberFormat="1" applyFont="1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2" fontId="13" fillId="0" borderId="5" xfId="0" applyNumberFormat="1" applyFont="1" applyBorder="1" applyAlignment="1">
      <alignment horizontal="left" vertical="top" wrapText="1"/>
    </xf>
    <xf numFmtId="2" fontId="13" fillId="0" borderId="8" xfId="0" applyNumberFormat="1" applyFont="1" applyBorder="1" applyAlignment="1">
      <alignment horizontal="left" vertical="top" wrapText="1"/>
    </xf>
    <xf numFmtId="2" fontId="13" fillId="0" borderId="6" xfId="0" applyNumberFormat="1" applyFont="1" applyBorder="1" applyAlignment="1">
      <alignment horizontal="left" vertical="top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</cellXfs>
  <cellStyles count="28">
    <cellStyle name="Comma [0] 2" xfId="8" xr:uid="{4A25064D-A8CA-458C-8793-0A1823D68348}"/>
    <cellStyle name="Comma [0] 2 2" xfId="14" xr:uid="{6DAFEEBF-295C-446A-8749-5620905286BC}"/>
    <cellStyle name="Comma [0] 3" xfId="12" xr:uid="{2CA3CEF5-1D6E-4BFF-9F2C-9ECC4877DC00}"/>
    <cellStyle name="Comma [0] 4" xfId="6" xr:uid="{604B9F40-5960-4D94-AB31-114FDDA4E088}"/>
    <cellStyle name="Comma 10" xfId="18" xr:uid="{C2EFDF9F-6276-4A07-8882-071209CCC13C}"/>
    <cellStyle name="Comma 11" xfId="20" xr:uid="{0F17DDC6-321C-4083-9DEC-81E837C431AB}"/>
    <cellStyle name="Comma 2" xfId="7" xr:uid="{38FECB87-ABF7-4C64-8319-8A1F9E788A6A}"/>
    <cellStyle name="Comma 2 2" xfId="13" xr:uid="{BFC51D78-080A-4351-AA40-2263FDE160B8}"/>
    <cellStyle name="Comma 3" xfId="10" xr:uid="{BE91304D-984D-49C1-B3E3-36C0CC81E71C}"/>
    <cellStyle name="Comma 3 2" xfId="15" xr:uid="{D2FA0FA4-7F58-442F-89BB-82618083C0FF}"/>
    <cellStyle name="Comma 4" xfId="11" xr:uid="{05BAC9CA-55A1-4A7B-818F-9032687942DD}"/>
    <cellStyle name="Comma 5" xfId="17" xr:uid="{39C416A0-C206-45ED-9948-08E0201A4FEA}"/>
    <cellStyle name="Comma 6" xfId="16" xr:uid="{9F6E7A6C-76F3-4F0E-8CCD-DA69B427F9F9}"/>
    <cellStyle name="Comma 7" xfId="5" xr:uid="{1A7F1B8A-C37A-44BA-96E9-32900F512A08}"/>
    <cellStyle name="Comma 8" xfId="9" xr:uid="{D083E035-0563-47FB-B471-B3BB4CBFC60E}"/>
    <cellStyle name="Comma 9" xfId="19" xr:uid="{033911B2-211A-41C9-95DA-C2AD11603D1C}"/>
    <cellStyle name="Hyperlink" xfId="3" builtinId="8"/>
    <cellStyle name="Normal" xfId="0" builtinId="0"/>
    <cellStyle name="Normal 2" xfId="2" xr:uid="{C505F91E-3613-471A-9900-16AFF4AE2EB7}"/>
    <cellStyle name="Normal 2 2" xfId="1" xr:uid="{B1FE0E84-243A-41F3-AD30-F9BBB84B16EA}"/>
    <cellStyle name="Normal 2 3" xfId="24" xr:uid="{058B1B46-5FBA-4EC6-9060-1718BEE87813}"/>
    <cellStyle name="Normal 2 4" xfId="27" xr:uid="{70B4DA38-EEA1-48AA-A600-7021318B3C28}"/>
    <cellStyle name="Normal 3" xfId="4" xr:uid="{9B8BAA23-E1AC-4889-8276-558CE285E21E}"/>
    <cellStyle name="Normal 4" xfId="23" xr:uid="{9A1838F9-7A24-4412-A505-59305630846D}"/>
    <cellStyle name="Обычный 10" xfId="26" xr:uid="{5CFE31A9-E1DA-4783-851F-C2A4FEBC2D00}"/>
    <cellStyle name="Обычный 2" xfId="21" xr:uid="{A770D20F-8F0B-41E6-A12F-BF030CE51EF0}"/>
    <cellStyle name="Обычный 2 2" xfId="22" xr:uid="{FD73D2FD-63E4-4BF4-B4BF-6F9E793708D3}"/>
    <cellStyle name="Обычный 2 9" xfId="25" xr:uid="{D75D79C5-6B8B-491A-A219-D67444AA45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D37B-B495-4BE3-B820-14DE337977D7}">
  <dimension ref="A2:N53"/>
  <sheetViews>
    <sheetView zoomScaleNormal="100" workbookViewId="0">
      <selection activeCell="B12" sqref="B12"/>
    </sheetView>
  </sheetViews>
  <sheetFormatPr defaultColWidth="9.26953125" defaultRowHeight="16.5" customHeight="1" x14ac:dyDescent="0.35"/>
  <cols>
    <col min="1" max="1" width="17.54296875" bestFit="1" customWidth="1"/>
    <col min="2" max="2" width="74.81640625" bestFit="1" customWidth="1"/>
    <col min="3" max="3" width="23.81640625" bestFit="1" customWidth="1"/>
    <col min="4" max="4" width="32.81640625" customWidth="1"/>
    <col min="5" max="5" width="127.7265625" customWidth="1"/>
    <col min="6" max="6" width="20" customWidth="1"/>
    <col min="7" max="7" width="7" customWidth="1"/>
    <col min="8" max="8" width="88.453125" customWidth="1"/>
    <col min="9" max="9" width="9.81640625" customWidth="1"/>
    <col min="10" max="10" width="13" customWidth="1"/>
    <col min="11" max="11" width="4.54296875" customWidth="1"/>
    <col min="12" max="12" width="14.81640625" style="16" customWidth="1"/>
    <col min="13" max="13" width="25" customWidth="1"/>
    <col min="14" max="14" width="8.81640625" style="33" customWidth="1"/>
  </cols>
  <sheetData>
    <row r="2" spans="1:14" s="28" customFormat="1" ht="16.5" customHeight="1" x14ac:dyDescent="0.35">
      <c r="A2" s="28" t="str">
        <f>'Data Base Bule'!R2</f>
        <v>Nomor Rekening</v>
      </c>
      <c r="B2" s="28" t="str">
        <f>CONCATENATE('Data Base Bule'!R2,"|",'Data Base Bule'!C2,"|",'Data Base Bule'!S2,"|",'Data Base Bule'!T2,"|",'Data Base Bule'!U2,"|","|","ID","|","|","ID","|","|")</f>
        <v>Nomor Rekening|Bill To (Payer)|Alamat payer|Kota Payer|Negara Payer||ID||ID||</v>
      </c>
      <c r="C2" s="28" t="str">
        <f>CONCATENATE('Data Base Bule'!B2,"|",'Data Base Bule'!N2,"|",'Data Base Bule'!H2)</f>
        <v xml:space="preserve">Date of Transaction|Currency |Amounts </v>
      </c>
      <c r="D2" s="28" t="str">
        <f>'Data Base Bule'!E2</f>
        <v>Account number of Beneficiary</v>
      </c>
      <c r="E2" s="28" t="str">
        <f>CONCATENATE('Data Base Bule'!D2,"|",'Data Base Bule'!K2,"#",'Data Base Bule'!J2,"#",'Data Base Bule'!I2)</f>
        <v xml:space="preserve">Beneficiary Name|Complete Address of Beneficiary Account#City of Beneficiary #Country of Beneficiary </v>
      </c>
      <c r="F2" s="28" t="str">
        <f>CONCATENATE("A","|","|",'Data Base Bule'!L2)</f>
        <v xml:space="preserve">A||Swift </v>
      </c>
      <c r="G2" s="28" t="s">
        <v>0</v>
      </c>
      <c r="H2" s="28" t="str">
        <f>CONCATENATE('Data Base Bule'!M2,"###")</f>
        <v>Payment details 1 ###</v>
      </c>
      <c r="I2" s="29" t="s">
        <v>53</v>
      </c>
      <c r="J2" s="28" t="s">
        <v>77</v>
      </c>
      <c r="K2" s="28" t="s">
        <v>0</v>
      </c>
      <c r="L2" s="29" t="s">
        <v>0</v>
      </c>
      <c r="M2" s="30"/>
      <c r="N2" s="31"/>
    </row>
    <row r="3" spans="1:14" s="18" customFormat="1" ht="16.5" customHeight="1" x14ac:dyDescent="0.35">
      <c r="A3" s="23">
        <f>'Data Base Bule'!R4</f>
        <v>0</v>
      </c>
      <c r="B3" s="18" t="str">
        <f>CONCATENATE('Data Base Bule'!R4,"|",'Data Base Bule'!C4,"|",'Data Base Bule'!S4,"|",'Data Base Bule'!T4,"|",'Data Base Bule'!U4,"|","|","ID","|","|","ID","|","|")</f>
        <v>||||||ID||ID||</v>
      </c>
      <c r="C3" s="18" t="str">
        <f>CONCATENATE('Data Base Bule'!B4,"|",'Data Base Bule'!N4,"|",'Data Base Bule'!H4)</f>
        <v>260701||</v>
      </c>
      <c r="D3" s="19">
        <f>'Data Base Bule'!E4</f>
        <v>0</v>
      </c>
      <c r="E3" s="18" t="str">
        <f>CONCATENATE('Data Base Bule'!D4,"|",'Data Base Bule'!K4,"#",'Data Base Bule'!J4,"#",'Data Base Bule'!I4)</f>
        <v>|##</v>
      </c>
      <c r="F3" s="18" t="str">
        <f>CONCATENATE("A","|","|",'Data Base Bule'!L4)</f>
        <v>A||</v>
      </c>
      <c r="G3" s="18" t="s">
        <v>0</v>
      </c>
      <c r="H3" t="str">
        <f>CONCATENATE('Data Base Bule'!M4,"###")</f>
        <v>###</v>
      </c>
      <c r="I3" s="20" t="s">
        <v>53</v>
      </c>
      <c r="J3" t="s">
        <v>77</v>
      </c>
      <c r="K3" s="18" t="s">
        <v>0</v>
      </c>
      <c r="L3" s="16" t="s">
        <v>0</v>
      </c>
      <c r="M3" s="21" t="s">
        <v>70</v>
      </c>
      <c r="N3" s="25">
        <v>1</v>
      </c>
    </row>
    <row r="4" spans="1:14" s="18" customFormat="1" ht="16.5" customHeight="1" x14ac:dyDescent="0.35">
      <c r="A4" s="18">
        <f>'Data Base Bule'!R5</f>
        <v>0</v>
      </c>
      <c r="B4" s="18" t="str">
        <f>CONCATENATE('Data Base Bule'!R5,"|",'Data Base Bule'!C5,"|",'Data Base Bule'!S5,"|",'Data Base Bule'!T5,"|",'Data Base Bule'!U5,"|","|","ID","|","|","ID","|","|")</f>
        <v>||||||ID||ID||</v>
      </c>
      <c r="C4" s="18" t="str">
        <f>CONCATENATE('Data Base Bule'!B5,"|",'Data Base Bule'!N5,"|",'Data Base Bule'!H5)</f>
        <v>260701||</v>
      </c>
      <c r="D4" s="19">
        <f>'Data Base Bule'!E5</f>
        <v>0</v>
      </c>
      <c r="E4" s="18" t="str">
        <f>CONCATENATE('Data Base Bule'!D5,"|",'Data Base Bule'!K5,"#",'Data Base Bule'!J5,"#",'Data Base Bule'!I5)</f>
        <v>|##</v>
      </c>
      <c r="F4" s="18" t="str">
        <f>CONCATENATE("A","|","|",'Data Base Bule'!L5)</f>
        <v>A||</v>
      </c>
      <c r="G4" s="18" t="s">
        <v>0</v>
      </c>
      <c r="H4" t="str">
        <f>CONCATENATE('Data Base Bule'!M5,"###")</f>
        <v>###</v>
      </c>
      <c r="I4" s="20" t="s">
        <v>53</v>
      </c>
      <c r="J4" t="s">
        <v>77</v>
      </c>
      <c r="K4" s="18" t="s">
        <v>0</v>
      </c>
      <c r="L4" s="16" t="s">
        <v>0</v>
      </c>
      <c r="M4" s="21" t="s">
        <v>70</v>
      </c>
      <c r="N4" s="61">
        <v>2</v>
      </c>
    </row>
    <row r="5" spans="1:14" ht="16.5" customHeight="1" x14ac:dyDescent="0.35">
      <c r="A5" s="18">
        <f>'Data Base Bule'!R6</f>
        <v>0</v>
      </c>
      <c r="B5" s="18" t="str">
        <f>CONCATENATE('Data Base Bule'!R6,"|",'Data Base Bule'!C6,"|",'Data Base Bule'!S6,"|",'Data Base Bule'!T6,"|",'Data Base Bule'!U6,"|","|","ID","|","|","ID","|","|")</f>
        <v>||||||ID||ID||</v>
      </c>
      <c r="C5" s="18" t="str">
        <f>CONCATENATE('Data Base Bule'!B6,"|",'Data Base Bule'!N6,"|",'Data Base Bule'!H6)</f>
        <v>260701||</v>
      </c>
      <c r="D5" s="17">
        <f>'Data Base Bule'!E6</f>
        <v>0</v>
      </c>
      <c r="E5" t="str">
        <f>CONCATENATE('Data Base Bule'!D6,"|",'Data Base Bule'!K6,"#",'Data Base Bule'!J6,"#",'Data Base Bule'!I6)</f>
        <v>|##</v>
      </c>
      <c r="F5" t="str">
        <f>CONCATENATE("A","|","|",'Data Base Bule'!L6)</f>
        <v>A||</v>
      </c>
      <c r="G5" t="s">
        <v>0</v>
      </c>
      <c r="H5" t="str">
        <f>CONCATENATE('Data Base Bule'!M6,"###")</f>
        <v>###</v>
      </c>
      <c r="I5" s="16" t="s">
        <v>53</v>
      </c>
      <c r="J5" t="s">
        <v>77</v>
      </c>
      <c r="K5" t="s">
        <v>0</v>
      </c>
      <c r="L5" s="16" t="s">
        <v>0</v>
      </c>
      <c r="M5" s="21" t="s">
        <v>70</v>
      </c>
      <c r="N5" s="25">
        <v>3</v>
      </c>
    </row>
    <row r="6" spans="1:14" ht="16.5" customHeight="1" x14ac:dyDescent="0.35">
      <c r="A6" s="18">
        <f>'Data Base Bule'!R7</f>
        <v>0</v>
      </c>
      <c r="B6" s="18" t="str">
        <f>CONCATENATE('Data Base Bule'!R7,"|",'Data Base Bule'!C7,"|",'Data Base Bule'!S7,"|",'Data Base Bule'!T7,"|",'Data Base Bule'!U7,"|","|","ID","|","|","ID","|","|")</f>
        <v>||||||ID||ID||</v>
      </c>
      <c r="C6" s="18" t="str">
        <f>CONCATENATE('Data Base Bule'!B7,"|",'Data Base Bule'!N7,"|",'Data Base Bule'!H7)</f>
        <v>260701||</v>
      </c>
      <c r="D6" s="17">
        <f>'Data Base Bule'!E7</f>
        <v>0</v>
      </c>
      <c r="E6" t="str">
        <f>CONCATENATE('Data Base Bule'!D7,"|",'Data Base Bule'!K7,"#",'Data Base Bule'!J7,"#",'Data Base Bule'!I7)</f>
        <v>|##</v>
      </c>
      <c r="F6" t="str">
        <f>CONCATENATE("A","|","|",'Data Base Bule'!L7)</f>
        <v>A||</v>
      </c>
      <c r="G6" t="s">
        <v>0</v>
      </c>
      <c r="H6" t="str">
        <f>CONCATENATE('Data Base Bule'!M7,"###")</f>
        <v>###</v>
      </c>
      <c r="I6" s="16" t="s">
        <v>53</v>
      </c>
      <c r="J6" t="s">
        <v>77</v>
      </c>
      <c r="K6" t="s">
        <v>0</v>
      </c>
      <c r="L6" s="16" t="s">
        <v>0</v>
      </c>
      <c r="M6" s="21" t="s">
        <v>70</v>
      </c>
      <c r="N6" s="61">
        <v>4</v>
      </c>
    </row>
    <row r="7" spans="1:14" ht="16.5" customHeight="1" x14ac:dyDescent="0.35">
      <c r="A7" s="18">
        <f>'Data Base Bule'!R8</f>
        <v>0</v>
      </c>
      <c r="B7" s="18" t="str">
        <f>CONCATENATE('Data Base Bule'!R8,"|",'Data Base Bule'!C8,"|",'Data Base Bule'!S8,"|",'Data Base Bule'!T8,"|",'Data Base Bule'!U8,"|","|","ID","|","|","ID","|","|")</f>
        <v>||||||ID||ID||</v>
      </c>
      <c r="C7" s="18" t="str">
        <f>CONCATENATE('Data Base Bule'!B8,"|",'Data Base Bule'!N8,"|",'Data Base Bule'!H8)</f>
        <v>260701||</v>
      </c>
      <c r="D7" s="17">
        <f>'Data Base Bule'!E8</f>
        <v>0</v>
      </c>
      <c r="E7" t="str">
        <f>CONCATENATE('Data Base Bule'!D8,"|",'Data Base Bule'!K8,"#",'Data Base Bule'!J8,"#",'Data Base Bule'!I8)</f>
        <v>|##</v>
      </c>
      <c r="F7" t="str">
        <f>CONCATENATE("A","|","|",'Data Base Bule'!L8)</f>
        <v>A||</v>
      </c>
      <c r="G7" t="s">
        <v>0</v>
      </c>
      <c r="H7" t="str">
        <f>CONCATENATE('Data Base Bule'!M8,"###")</f>
        <v>###</v>
      </c>
      <c r="I7" s="16" t="s">
        <v>53</v>
      </c>
      <c r="J7" t="s">
        <v>77</v>
      </c>
      <c r="K7" t="s">
        <v>0</v>
      </c>
      <c r="L7" s="16" t="s">
        <v>0</v>
      </c>
      <c r="M7" s="21" t="s">
        <v>70</v>
      </c>
      <c r="N7" s="25">
        <v>5</v>
      </c>
    </row>
    <row r="8" spans="1:14" ht="16.5" customHeight="1" x14ac:dyDescent="0.35">
      <c r="A8" s="18">
        <f>'Data Base Bule'!R9</f>
        <v>0</v>
      </c>
      <c r="B8" s="18" t="str">
        <f>CONCATENATE('Data Base Bule'!R9,"|",'Data Base Bule'!C9,"|",'Data Base Bule'!S9,"|",'Data Base Bule'!T9,"|",'Data Base Bule'!U9,"|","|","ID","|","|","ID","|","|")</f>
        <v>||||||ID||ID||</v>
      </c>
      <c r="C8" s="18" t="str">
        <f>CONCATENATE('Data Base Bule'!B9,"|",'Data Base Bule'!N9,"|",'Data Base Bule'!H9)</f>
        <v>260701||</v>
      </c>
      <c r="D8" s="17">
        <f>'Data Base Bule'!E9</f>
        <v>0</v>
      </c>
      <c r="E8" t="str">
        <f>CONCATENATE('Data Base Bule'!D9,"|",'Data Base Bule'!K9,"#",'Data Base Bule'!J9,"#",'Data Base Bule'!I9)</f>
        <v>|##</v>
      </c>
      <c r="F8" t="str">
        <f>CONCATENATE("A","|","|",'Data Base Bule'!L9)</f>
        <v>A||</v>
      </c>
      <c r="G8" t="s">
        <v>0</v>
      </c>
      <c r="H8" t="str">
        <f>CONCATENATE('Data Base Bule'!M9,"###")</f>
        <v>###</v>
      </c>
      <c r="I8" s="16" t="s">
        <v>53</v>
      </c>
      <c r="J8" t="s">
        <v>77</v>
      </c>
      <c r="K8" t="s">
        <v>0</v>
      </c>
      <c r="L8" s="16" t="s">
        <v>0</v>
      </c>
      <c r="M8" s="21" t="s">
        <v>70</v>
      </c>
      <c r="N8" s="61">
        <v>6</v>
      </c>
    </row>
    <row r="9" spans="1:14" ht="16.5" customHeight="1" x14ac:dyDescent="0.35">
      <c r="A9" s="18">
        <f>'Data Base Bule'!R10</f>
        <v>0</v>
      </c>
      <c r="B9" s="18" t="str">
        <f>CONCATENATE('Data Base Bule'!R10,"|",'Data Base Bule'!C10,"|",'Data Base Bule'!S10,"|",'Data Base Bule'!T10,"|",'Data Base Bule'!U10,"|","|","ID","|","|","ID","|","|")</f>
        <v>||||||ID||ID||</v>
      </c>
      <c r="C9" s="18" t="str">
        <f>CONCATENATE('Data Base Bule'!B10,"|",'Data Base Bule'!N10,"|",'Data Base Bule'!H10)</f>
        <v>||</v>
      </c>
      <c r="D9" s="17">
        <f>'Data Base Bule'!E10</f>
        <v>0</v>
      </c>
      <c r="E9" t="str">
        <f>CONCATENATE('Data Base Bule'!D10,"|",'Data Base Bule'!K10,"#",'Data Base Bule'!J10,"#",'Data Base Bule'!I10)</f>
        <v>|##</v>
      </c>
      <c r="F9" t="str">
        <f>CONCATENATE("A","|","|",'Data Base Bule'!L10)</f>
        <v>A||</v>
      </c>
      <c r="G9" t="s">
        <v>68</v>
      </c>
      <c r="H9" t="str">
        <f>CONCATENATE('Data Base Bule'!M10,"###")</f>
        <v>###</v>
      </c>
      <c r="I9" s="16" t="s">
        <v>53</v>
      </c>
      <c r="J9" t="s">
        <v>77</v>
      </c>
      <c r="K9" t="s">
        <v>0</v>
      </c>
      <c r="L9" s="16" t="s">
        <v>0</v>
      </c>
      <c r="M9" s="21" t="s">
        <v>70</v>
      </c>
      <c r="N9" s="32"/>
    </row>
    <row r="10" spans="1:14" ht="16.5" customHeight="1" x14ac:dyDescent="0.35">
      <c r="A10" s="18">
        <f>'Data Base Bule'!R11</f>
        <v>0</v>
      </c>
      <c r="B10" s="18" t="str">
        <f>CONCATENATE('Data Base Bule'!R11,"|",'Data Base Bule'!C11,"|",'Data Base Bule'!S11,"|",'Data Base Bule'!T11,"|",'Data Base Bule'!U11,"|","|","ID","|","|","ID","|","|")</f>
        <v>||||||ID||ID||</v>
      </c>
      <c r="C10" s="18" t="str">
        <f>CONCATENATE('Data Base Bule'!B11,"|",'Data Base Bule'!N11,"|",'Data Base Bule'!H11)</f>
        <v>||</v>
      </c>
      <c r="D10" s="17">
        <f>'Data Base Bule'!E11</f>
        <v>0</v>
      </c>
      <c r="E10" t="str">
        <f>CONCATENATE('Data Base Bule'!D11,"|",'Data Base Bule'!K11,"#",'Data Base Bule'!J11,"#",'Data Base Bule'!I11)</f>
        <v>|##</v>
      </c>
      <c r="F10" t="str">
        <f>CONCATENATE("A","|","|",'Data Base Bule'!L11)</f>
        <v>A||</v>
      </c>
      <c r="G10" t="s">
        <v>0</v>
      </c>
      <c r="H10" t="str">
        <f>CONCATENATE('Data Base Bule'!M11,"###")</f>
        <v>###</v>
      </c>
      <c r="I10" s="16" t="s">
        <v>53</v>
      </c>
      <c r="J10" t="s">
        <v>77</v>
      </c>
      <c r="K10" t="s">
        <v>0</v>
      </c>
      <c r="L10" s="16" t="s">
        <v>0</v>
      </c>
      <c r="M10" s="21" t="s">
        <v>70</v>
      </c>
      <c r="N10" s="32"/>
    </row>
    <row r="11" spans="1:14" ht="16.5" customHeight="1" x14ac:dyDescent="0.35">
      <c r="A11" s="18">
        <f>'Data Base Bule'!R12</f>
        <v>0</v>
      </c>
      <c r="B11" s="18" t="str">
        <f>CONCATENATE('Data Base Bule'!R12,"|",'Data Base Bule'!C12,"|",'Data Base Bule'!S12,"|",'Data Base Bule'!T12,"|",'Data Base Bule'!U12,"|","|","ID","|","|","ID","|","|")</f>
        <v>||||||ID||ID||</v>
      </c>
      <c r="C11" s="18" t="str">
        <f>CONCATENATE('Data Base Bule'!B12,"|",'Data Base Bule'!N12,"|",'Data Base Bule'!H12)</f>
        <v>||</v>
      </c>
      <c r="D11" s="17">
        <f>'Data Base Bule'!E12</f>
        <v>0</v>
      </c>
      <c r="E11" t="str">
        <f>CONCATENATE('Data Base Bule'!D12,"|",'Data Base Bule'!K12,"#",'Data Base Bule'!J12,"#",'Data Base Bule'!I12)</f>
        <v>|##</v>
      </c>
      <c r="F11" t="str">
        <f>CONCATENATE("A","|","|",'Data Base Bule'!L12)</f>
        <v>A||</v>
      </c>
      <c r="G11" t="s">
        <v>0</v>
      </c>
      <c r="H11" t="str">
        <f>CONCATENATE('Data Base Bule'!M12,"###")</f>
        <v>###</v>
      </c>
      <c r="I11" s="16" t="s">
        <v>53</v>
      </c>
      <c r="J11" t="s">
        <v>77</v>
      </c>
      <c r="K11" t="s">
        <v>0</v>
      </c>
      <c r="L11" s="16" t="s">
        <v>0</v>
      </c>
      <c r="M11" s="21" t="s">
        <v>70</v>
      </c>
      <c r="N11" s="25"/>
    </row>
    <row r="12" spans="1:14" ht="16.5" customHeight="1" x14ac:dyDescent="0.35">
      <c r="A12" s="18">
        <f>'Data Base Bule'!R13</f>
        <v>0</v>
      </c>
      <c r="B12" s="18" t="str">
        <f>CONCATENATE('Data Base Bule'!R13,"|",'Data Base Bule'!C13,"|",'Data Base Bule'!S13,"|",'Data Base Bule'!T13,"|",'Data Base Bule'!U13,"|","|","ID","|","|","ID","|","|")</f>
        <v>||||||ID||ID||</v>
      </c>
      <c r="C12" s="18" t="str">
        <f>CONCATENATE('Data Base Bule'!B13,"|",'Data Base Bule'!N13,"|",'Data Base Bule'!H13)</f>
        <v>||</v>
      </c>
      <c r="D12" s="17">
        <f>'Data Base Bule'!E13</f>
        <v>0</v>
      </c>
      <c r="E12" t="str">
        <f>CONCATENATE('Data Base Bule'!D13,"|",'Data Base Bule'!K13,"#",'Data Base Bule'!J13,"#",'Data Base Bule'!I13)</f>
        <v>|##</v>
      </c>
      <c r="F12" t="str">
        <f>CONCATENATE("A","|","|",'Data Base Bule'!L13)</f>
        <v>A||</v>
      </c>
      <c r="G12" t="s">
        <v>0</v>
      </c>
      <c r="H12" t="str">
        <f>CONCATENATE('Data Base Bule'!M13,"###")</f>
        <v>###</v>
      </c>
      <c r="I12" s="16" t="s">
        <v>53</v>
      </c>
      <c r="J12" t="s">
        <v>77</v>
      </c>
      <c r="K12" t="s">
        <v>0</v>
      </c>
      <c r="L12" s="16" t="s">
        <v>0</v>
      </c>
      <c r="M12" s="21" t="s">
        <v>70</v>
      </c>
      <c r="N12" s="61"/>
    </row>
    <row r="13" spans="1:14" ht="16.5" customHeight="1" x14ac:dyDescent="0.35">
      <c r="A13" s="18">
        <f>'Data Base Bule'!R14</f>
        <v>0</v>
      </c>
      <c r="B13" s="18" t="str">
        <f>CONCATENATE('Data Base Bule'!R14,"|",'Data Base Bule'!C14,"|",'Data Base Bule'!S14,"|",'Data Base Bule'!T14,"|",'Data Base Bule'!U14,"|","|","ID","|","|","ID","|","|")</f>
        <v>||||||ID||ID||</v>
      </c>
      <c r="C13" s="18" t="str">
        <f>CONCATENATE('Data Base Bule'!B14,"|",'Data Base Bule'!N14,"|",'Data Base Bule'!H14)</f>
        <v>||</v>
      </c>
      <c r="D13" s="17">
        <f>'Data Base Bule'!E14</f>
        <v>0</v>
      </c>
      <c r="E13" t="str">
        <f>CONCATENATE('Data Base Bule'!D14,"|",'Data Base Bule'!K14,"#",'Data Base Bule'!J14,"#",'Data Base Bule'!I14)</f>
        <v>|##</v>
      </c>
      <c r="F13" t="str">
        <f>CONCATENATE("A","|","|",'Data Base Bule'!L14)</f>
        <v>A||</v>
      </c>
      <c r="G13" t="s">
        <v>0</v>
      </c>
      <c r="H13" t="str">
        <f>CONCATENATE('Data Base Bule'!M14,"###")</f>
        <v>###</v>
      </c>
      <c r="I13" s="16" t="s">
        <v>53</v>
      </c>
      <c r="J13" t="s">
        <v>77</v>
      </c>
      <c r="K13" t="s">
        <v>0</v>
      </c>
      <c r="L13" s="16" t="s">
        <v>0</v>
      </c>
      <c r="M13" s="21" t="s">
        <v>70</v>
      </c>
      <c r="N13" s="61"/>
    </row>
    <row r="14" spans="1:14" ht="16.5" customHeight="1" x14ac:dyDescent="0.35">
      <c r="A14" s="18">
        <f>'Data Base Bule'!R15</f>
        <v>0</v>
      </c>
      <c r="B14" s="18" t="str">
        <f>CONCATENATE('Data Base Bule'!R15,"|",'Data Base Bule'!C15,"|",'Data Base Bule'!S15,"|",'Data Base Bule'!T15,"|",'Data Base Bule'!U15,"|","|","ID","|","|","ID","|","|")</f>
        <v>||||||ID||ID||</v>
      </c>
      <c r="C14" s="18" t="str">
        <f>CONCATENATE('Data Base Bule'!B15,"|",'Data Base Bule'!N15,"|",'Data Base Bule'!H15)</f>
        <v>||</v>
      </c>
      <c r="D14" s="17">
        <f>'Data Base Bule'!E15</f>
        <v>0</v>
      </c>
      <c r="E14" t="str">
        <f>CONCATENATE('Data Base Bule'!D15,"|",'Data Base Bule'!K15,"#",'Data Base Bule'!J15,"#",'Data Base Bule'!I15)</f>
        <v>|##</v>
      </c>
      <c r="F14" t="str">
        <f>CONCATENATE("A","|","|",'Data Base Bule'!L15)</f>
        <v>A||</v>
      </c>
      <c r="G14" t="s">
        <v>0</v>
      </c>
      <c r="H14" t="str">
        <f>CONCATENATE('Data Base Bule'!M15,"###")</f>
        <v>###</v>
      </c>
      <c r="I14" s="16" t="s">
        <v>53</v>
      </c>
      <c r="J14" t="s">
        <v>77</v>
      </c>
      <c r="K14" t="s">
        <v>0</v>
      </c>
      <c r="L14" s="16" t="s">
        <v>0</v>
      </c>
      <c r="M14" s="21" t="s">
        <v>70</v>
      </c>
      <c r="N14" s="61"/>
    </row>
    <row r="15" spans="1:14" ht="16.5" customHeight="1" x14ac:dyDescent="0.35">
      <c r="A15" s="18">
        <f>'Data Base Bule'!R16</f>
        <v>0</v>
      </c>
      <c r="B15" s="18" t="str">
        <f>CONCATENATE('Data Base Bule'!R16,"|",'Data Base Bule'!C16,"|",'Data Base Bule'!S16,"|",'Data Base Bule'!T16,"|",'Data Base Bule'!U16,"|","|","ID","|","|","ID","|","|")</f>
        <v>||||||ID||ID||</v>
      </c>
      <c r="C15" s="18" t="str">
        <f>CONCATENATE('Data Base Bule'!B16,"|",'Data Base Bule'!N16,"|",'Data Base Bule'!H16)</f>
        <v>||</v>
      </c>
      <c r="D15" s="17">
        <f>'Data Base Bule'!E16</f>
        <v>0</v>
      </c>
      <c r="E15" t="str">
        <f>CONCATENATE('Data Base Bule'!D16,"|",'Data Base Bule'!K16,"#",'Data Base Bule'!J16,"#",'Data Base Bule'!I16)</f>
        <v>|##</v>
      </c>
      <c r="F15" t="str">
        <f>CONCATENATE("A","|","|",'Data Base Bule'!L16)</f>
        <v>A||</v>
      </c>
      <c r="G15" t="s">
        <v>0</v>
      </c>
      <c r="H15" t="str">
        <f>CONCATENATE('Data Base Bule'!M16,"###")</f>
        <v>###</v>
      </c>
      <c r="I15" s="16" t="s">
        <v>53</v>
      </c>
      <c r="J15" t="s">
        <v>77</v>
      </c>
      <c r="K15" t="s">
        <v>0</v>
      </c>
      <c r="L15" s="16" t="s">
        <v>0</v>
      </c>
      <c r="M15" s="21" t="s">
        <v>70</v>
      </c>
      <c r="N15" s="61"/>
    </row>
    <row r="16" spans="1:14" ht="16.5" customHeight="1" x14ac:dyDescent="0.35">
      <c r="A16" s="18">
        <f>'Data Base Bule'!R17</f>
        <v>0</v>
      </c>
      <c r="B16" s="18" t="str">
        <f>CONCATENATE('Data Base Bule'!R17,"|",'Data Base Bule'!C17,"|",'Data Base Bule'!S17,"|",'Data Base Bule'!T17,"|",'Data Base Bule'!U17,"|","|","ID","|","|","ID","|","|")</f>
        <v>||||||ID||ID||</v>
      </c>
      <c r="C16" s="18" t="str">
        <f>CONCATENATE('Data Base Bule'!B17,"|",'Data Base Bule'!N17,"|",'Data Base Bule'!H17)</f>
        <v>||</v>
      </c>
      <c r="D16" s="17">
        <f>'Data Base Bule'!E17</f>
        <v>0</v>
      </c>
      <c r="E16" t="str">
        <f>CONCATENATE('Data Base Bule'!D17,"|",'Data Base Bule'!K17,"#",'Data Base Bule'!J17,"#",'Data Base Bule'!I17)</f>
        <v>|##</v>
      </c>
      <c r="F16" t="str">
        <f>CONCATENATE("A","|","|",'Data Base Bule'!L17)</f>
        <v>A||</v>
      </c>
      <c r="G16" t="s">
        <v>0</v>
      </c>
      <c r="H16" t="str">
        <f>CONCATENATE('Data Base Bule'!M17,"###")</f>
        <v>###</v>
      </c>
      <c r="I16" s="16" t="s">
        <v>53</v>
      </c>
      <c r="J16" t="s">
        <v>77</v>
      </c>
      <c r="K16" t="s">
        <v>0</v>
      </c>
      <c r="L16" s="16" t="s">
        <v>0</v>
      </c>
      <c r="M16" s="21" t="s">
        <v>70</v>
      </c>
      <c r="N16" s="61"/>
    </row>
    <row r="17" spans="1:14" ht="16.5" customHeight="1" x14ac:dyDescent="0.35">
      <c r="A17" s="18">
        <f>'Data Base Bule'!R18</f>
        <v>0</v>
      </c>
      <c r="B17" s="18" t="str">
        <f>CONCATENATE('Data Base Bule'!R18,"|",'Data Base Bule'!C18,"|",'Data Base Bule'!S18,"|",'Data Base Bule'!T18,"|",'Data Base Bule'!U18,"|","|","ID","|","|","ID","|","|")</f>
        <v>||||||ID||ID||</v>
      </c>
      <c r="C17" s="18" t="str">
        <f>CONCATENATE('Data Base Bule'!B18,"|",'Data Base Bule'!N18,"|",'Data Base Bule'!H18)</f>
        <v>||</v>
      </c>
      <c r="D17" s="17">
        <f>'Data Base Bule'!E18</f>
        <v>0</v>
      </c>
      <c r="E17" t="str">
        <f>CONCATENATE('Data Base Bule'!D18,"|",'Data Base Bule'!K18,"#",'Data Base Bule'!J18,"#",'Data Base Bule'!I18)</f>
        <v>|##</v>
      </c>
      <c r="F17" t="str">
        <f>CONCATENATE("A","|","|",'Data Base Bule'!L18)</f>
        <v>A||</v>
      </c>
      <c r="G17" t="s">
        <v>0</v>
      </c>
      <c r="H17" t="str">
        <f>CONCATENATE('Data Base Bule'!M18,"###")</f>
        <v>###</v>
      </c>
      <c r="I17" s="16" t="s">
        <v>53</v>
      </c>
      <c r="J17" t="s">
        <v>77</v>
      </c>
      <c r="K17" t="s">
        <v>0</v>
      </c>
      <c r="L17" s="16" t="s">
        <v>0</v>
      </c>
      <c r="M17" s="21" t="s">
        <v>70</v>
      </c>
      <c r="N17" s="61"/>
    </row>
    <row r="18" spans="1:14" ht="16.5" customHeight="1" x14ac:dyDescent="0.35">
      <c r="A18" s="18">
        <f>'Data Base Bule'!R19</f>
        <v>0</v>
      </c>
      <c r="B18" s="18" t="str">
        <f>CONCATENATE('Data Base Bule'!R19,"|",'Data Base Bule'!C19,"|",'Data Base Bule'!S19,"|",'Data Base Bule'!T19,"|",'Data Base Bule'!U19,"|","|","ID","|","|","ID","|","|")</f>
        <v>||||||ID||ID||</v>
      </c>
      <c r="C18" s="18" t="str">
        <f>CONCATENATE('Data Base Bule'!B19,"|",'Data Base Bule'!N19,"|",'Data Base Bule'!H19)</f>
        <v>||</v>
      </c>
      <c r="D18" s="17">
        <f>'Data Base Bule'!E19</f>
        <v>0</v>
      </c>
      <c r="E18" t="str">
        <f>CONCATENATE('Data Base Bule'!D19,"|",'Data Base Bule'!K19,"#",'Data Base Bule'!J19,"#",'Data Base Bule'!I19)</f>
        <v>|##</v>
      </c>
      <c r="F18" t="str">
        <f>CONCATENATE("A","|","|",'Data Base Bule'!L19)</f>
        <v>A||</v>
      </c>
      <c r="G18" t="s">
        <v>0</v>
      </c>
      <c r="H18" t="str">
        <f>CONCATENATE('Data Base Bule'!M19,"###")</f>
        <v>###</v>
      </c>
      <c r="I18" s="16" t="s">
        <v>53</v>
      </c>
      <c r="J18" t="s">
        <v>77</v>
      </c>
      <c r="K18" t="s">
        <v>0</v>
      </c>
      <c r="L18" s="16" t="s">
        <v>0</v>
      </c>
      <c r="M18" s="21" t="s">
        <v>70</v>
      </c>
      <c r="N18" s="61"/>
    </row>
    <row r="19" spans="1:14" ht="16.5" customHeight="1" x14ac:dyDescent="0.35">
      <c r="A19" s="18">
        <f>'Data Base Bule'!R20</f>
        <v>0</v>
      </c>
      <c r="B19" s="18" t="str">
        <f>CONCATENATE('Data Base Bule'!R20,"|",'Data Base Bule'!C20,"|",'Data Base Bule'!S20,"|",'Data Base Bule'!T20,"|",'Data Base Bule'!U20,"|","|","ID","|","|","ID","|","|")</f>
        <v>||||||ID||ID||</v>
      </c>
      <c r="C19" s="18" t="str">
        <f>CONCATENATE('Data Base Bule'!B20,"|",'Data Base Bule'!N20,"|",'Data Base Bule'!H20)</f>
        <v>||</v>
      </c>
      <c r="D19" s="17">
        <f>'Data Base Bule'!E20</f>
        <v>0</v>
      </c>
      <c r="E19" t="str">
        <f>CONCATENATE('Data Base Bule'!D20,"|",'Data Base Bule'!K20,"#",'Data Base Bule'!J20,"#",'Data Base Bule'!I20)</f>
        <v>|##</v>
      </c>
      <c r="F19" t="str">
        <f>CONCATENATE("A","|","|",'Data Base Bule'!L20)</f>
        <v>A||</v>
      </c>
      <c r="G19" t="s">
        <v>0</v>
      </c>
      <c r="H19" t="str">
        <f>CONCATENATE('Data Base Bule'!M20,"###")</f>
        <v>###</v>
      </c>
      <c r="I19" s="16" t="s">
        <v>53</v>
      </c>
      <c r="J19" t="s">
        <v>77</v>
      </c>
      <c r="K19" t="s">
        <v>0</v>
      </c>
      <c r="L19" s="16" t="s">
        <v>0</v>
      </c>
      <c r="M19" s="21" t="s">
        <v>70</v>
      </c>
      <c r="N19" s="61"/>
    </row>
    <row r="20" spans="1:14" ht="16.5" customHeight="1" x14ac:dyDescent="0.35">
      <c r="A20" s="18">
        <f>'Data Base Bule'!R21</f>
        <v>0</v>
      </c>
      <c r="B20" s="18" t="str">
        <f>CONCATENATE('Data Base Bule'!R21,"|",'Data Base Bule'!C21,"|",'Data Base Bule'!S21,"|",'Data Base Bule'!T21,"|",'Data Base Bule'!U21,"|","|","ID","|","|","ID","|","|")</f>
        <v>||||||ID||ID||</v>
      </c>
      <c r="C20" s="18" t="str">
        <f>CONCATENATE('Data Base Bule'!B21,"|",'Data Base Bule'!N21,"|",'Data Base Bule'!H21)</f>
        <v>||</v>
      </c>
      <c r="D20" s="17">
        <f>'Data Base Bule'!E21</f>
        <v>0</v>
      </c>
      <c r="E20" t="str">
        <f>CONCATENATE('Data Base Bule'!D21,"|",'Data Base Bule'!K21,"#",'Data Base Bule'!J21,"#",'Data Base Bule'!I21)</f>
        <v>|##</v>
      </c>
      <c r="F20" t="str">
        <f>CONCATENATE("A","|","|",'Data Base Bule'!L21)</f>
        <v>A||</v>
      </c>
      <c r="G20" t="s">
        <v>0</v>
      </c>
      <c r="H20" t="str">
        <f>CONCATENATE('Data Base Bule'!M21,"###")</f>
        <v>###</v>
      </c>
      <c r="I20" s="16" t="s">
        <v>53</v>
      </c>
      <c r="J20" t="s">
        <v>77</v>
      </c>
      <c r="K20" t="s">
        <v>0</v>
      </c>
      <c r="L20" s="16" t="s">
        <v>0</v>
      </c>
      <c r="M20" s="21" t="s">
        <v>70</v>
      </c>
      <c r="N20" s="61"/>
    </row>
    <row r="21" spans="1:14" ht="16.5" customHeight="1" x14ac:dyDescent="0.35">
      <c r="A21" s="18">
        <f>'Data Base Bule'!R22</f>
        <v>0</v>
      </c>
      <c r="B21" s="18" t="str">
        <f>CONCATENATE('Data Base Bule'!R22,"|",'Data Base Bule'!C22,"|",'Data Base Bule'!S22,"|",'Data Base Bule'!T22,"|",'Data Base Bule'!U22,"|","|","ID","|","|","ID","|","|")</f>
        <v>||||||ID||ID||</v>
      </c>
      <c r="C21" s="18" t="str">
        <f>CONCATENATE('Data Base Bule'!B22,"|",'Data Base Bule'!N22,"|",'Data Base Bule'!H22)</f>
        <v>||</v>
      </c>
      <c r="D21" s="17">
        <f>'Data Base Bule'!E22</f>
        <v>0</v>
      </c>
      <c r="E21" t="str">
        <f>CONCATENATE('Data Base Bule'!D22,"|",'Data Base Bule'!K22,"#",'Data Base Bule'!J22,"#",'Data Base Bule'!I22)</f>
        <v>|##</v>
      </c>
      <c r="F21" t="str">
        <f>CONCATENATE("A","|","|",'Data Base Bule'!L22)</f>
        <v>A||</v>
      </c>
      <c r="G21" t="s">
        <v>0</v>
      </c>
      <c r="H21" t="str">
        <f>CONCATENATE('Data Base Bule'!M22,"###")</f>
        <v>###</v>
      </c>
      <c r="I21" s="16" t="s">
        <v>53</v>
      </c>
      <c r="J21" t="s">
        <v>77</v>
      </c>
      <c r="K21" t="s">
        <v>0</v>
      </c>
      <c r="L21" s="16" t="s">
        <v>0</v>
      </c>
      <c r="M21" s="21" t="s">
        <v>70</v>
      </c>
      <c r="N21" s="61"/>
    </row>
    <row r="22" spans="1:14" ht="16.5" customHeight="1" x14ac:dyDescent="0.35">
      <c r="A22" s="18">
        <f>'Data Base Bule'!R23</f>
        <v>0</v>
      </c>
      <c r="B22" s="18" t="str">
        <f>CONCATENATE('Data Base Bule'!R23,"|",'Data Base Bule'!C23,"|",'Data Base Bule'!S23,"|",'Data Base Bule'!T23,"|",'Data Base Bule'!U23,"|","|","ID","|","|","ID","|","|")</f>
        <v>||||||ID||ID||</v>
      </c>
      <c r="C22" s="18" t="str">
        <f>CONCATENATE('Data Base Bule'!B23,"|",'Data Base Bule'!N23,"|",'Data Base Bule'!H23)</f>
        <v>||</v>
      </c>
      <c r="D22" s="17">
        <f>'Data Base Bule'!E23</f>
        <v>0</v>
      </c>
      <c r="E22" t="str">
        <f>CONCATENATE('Data Base Bule'!D23,"|",'Data Base Bule'!K23,"#",'Data Base Bule'!J23,"#",'Data Base Bule'!I23)</f>
        <v>|##</v>
      </c>
      <c r="F22" t="str">
        <f>CONCATENATE("A","|","|",'Data Base Bule'!L23)</f>
        <v>A||</v>
      </c>
      <c r="G22" t="s">
        <v>0</v>
      </c>
      <c r="H22" t="str">
        <f>CONCATENATE('Data Base Bule'!M23,"###")</f>
        <v>###</v>
      </c>
      <c r="I22" s="16" t="s">
        <v>53</v>
      </c>
      <c r="J22" t="s">
        <v>77</v>
      </c>
      <c r="K22" t="s">
        <v>0</v>
      </c>
      <c r="L22" s="16" t="s">
        <v>0</v>
      </c>
      <c r="M22" s="21" t="s">
        <v>70</v>
      </c>
      <c r="N22" s="61"/>
    </row>
    <row r="23" spans="1:14" ht="16.5" customHeight="1" x14ac:dyDescent="0.35">
      <c r="A23" s="18">
        <f>'Data Base Bule'!R24</f>
        <v>0</v>
      </c>
      <c r="B23" s="18" t="str">
        <f>CONCATENATE('Data Base Bule'!R24,"|",'Data Base Bule'!C24,"|",'Data Base Bule'!S24,"|",'Data Base Bule'!T24,"|",'Data Base Bule'!U24,"|","|","ID","|","|","ID","|","|")</f>
        <v>||||||ID||ID||</v>
      </c>
      <c r="C23" s="18" t="str">
        <f>CONCATENATE('Data Base Bule'!B24,"|",'Data Base Bule'!N24,"|",'Data Base Bule'!H24)</f>
        <v>||</v>
      </c>
      <c r="D23" s="17">
        <f>'Data Base Bule'!E24</f>
        <v>0</v>
      </c>
      <c r="E23" t="str">
        <f>CONCATENATE('Data Base Bule'!D24,"|",'Data Base Bule'!K24,"#",'Data Base Bule'!J24,"#",'Data Base Bule'!I24)</f>
        <v>|##</v>
      </c>
      <c r="F23" t="str">
        <f>CONCATENATE("A","|","|",'Data Base Bule'!L24)</f>
        <v>A||</v>
      </c>
      <c r="G23" t="s">
        <v>0</v>
      </c>
      <c r="H23" t="str">
        <f>CONCATENATE('Data Base Bule'!M24,"###")</f>
        <v>###</v>
      </c>
      <c r="I23" s="16" t="s">
        <v>53</v>
      </c>
      <c r="J23" t="s">
        <v>77</v>
      </c>
      <c r="K23" t="s">
        <v>0</v>
      </c>
      <c r="L23" s="16" t="s">
        <v>0</v>
      </c>
      <c r="M23" s="21" t="s">
        <v>70</v>
      </c>
      <c r="N23" s="61"/>
    </row>
    <row r="24" spans="1:14" ht="16.5" customHeight="1" x14ac:dyDescent="0.35">
      <c r="A24" s="18">
        <f>'Data Base Bule'!R25</f>
        <v>0</v>
      </c>
      <c r="B24" s="18" t="str">
        <f>CONCATENATE('Data Base Bule'!R25,"|",'Data Base Bule'!C25,"|",'Data Base Bule'!S25,"|",'Data Base Bule'!T25,"|",'Data Base Bule'!U25,"|","|","ID","|","|","ID","|","|")</f>
        <v>||||||ID||ID||</v>
      </c>
      <c r="C24" s="18" t="str">
        <f>CONCATENATE('Data Base Bule'!B25,"|",'Data Base Bule'!N25,"|",'Data Base Bule'!H25)</f>
        <v>||</v>
      </c>
      <c r="D24" s="17">
        <f>'Data Base Bule'!E25</f>
        <v>0</v>
      </c>
      <c r="E24" t="str">
        <f>CONCATENATE('Data Base Bule'!D25,"|",'Data Base Bule'!K25,"#",'Data Base Bule'!J25,"#",'Data Base Bule'!I25)</f>
        <v>|##</v>
      </c>
      <c r="F24" t="str">
        <f>CONCATENATE("A","|","|",'Data Base Bule'!L25)</f>
        <v>A||</v>
      </c>
      <c r="G24" t="s">
        <v>0</v>
      </c>
      <c r="H24" t="str">
        <f>CONCATENATE('Data Base Bule'!M25,"###")</f>
        <v>###</v>
      </c>
      <c r="I24" s="16" t="s">
        <v>53</v>
      </c>
      <c r="J24" t="s">
        <v>77</v>
      </c>
      <c r="K24" t="s">
        <v>0</v>
      </c>
      <c r="L24" s="16" t="s">
        <v>0</v>
      </c>
      <c r="M24" s="21" t="s">
        <v>70</v>
      </c>
      <c r="N24" s="61"/>
    </row>
    <row r="25" spans="1:14" ht="16.5" customHeight="1" x14ac:dyDescent="0.35">
      <c r="A25" s="18">
        <f>'Data Base Bule'!R26</f>
        <v>0</v>
      </c>
      <c r="B25" s="18" t="str">
        <f>CONCATENATE('Data Base Bule'!R26,"|",'Data Base Bule'!C26,"|",'Data Base Bule'!S26,"|",'Data Base Bule'!T26,"|",'Data Base Bule'!U26,"|","|","ID","|","|","ID","|","|")</f>
        <v>||||||ID||ID||</v>
      </c>
      <c r="C25" s="18" t="str">
        <f>CONCATENATE('Data Base Bule'!B26,"|",'Data Base Bule'!N26,"|",'Data Base Bule'!H26)</f>
        <v>||</v>
      </c>
      <c r="D25" s="17">
        <f>'Data Base Bule'!E26</f>
        <v>0</v>
      </c>
      <c r="E25" t="str">
        <f>CONCATENATE('Data Base Bule'!D26,"|",'Data Base Bule'!K26,"#",'Data Base Bule'!J26,"#",'Data Base Bule'!I26)</f>
        <v>|##</v>
      </c>
      <c r="F25" t="str">
        <f>CONCATENATE("A","|","|",'Data Base Bule'!L26)</f>
        <v>A||</v>
      </c>
      <c r="G25" t="s">
        <v>0</v>
      </c>
      <c r="H25" t="str">
        <f>CONCATENATE('Data Base Bule'!M26,"###")</f>
        <v>###</v>
      </c>
      <c r="I25" s="16" t="s">
        <v>53</v>
      </c>
      <c r="J25" t="s">
        <v>77</v>
      </c>
      <c r="K25" t="s">
        <v>0</v>
      </c>
      <c r="L25" s="16" t="s">
        <v>0</v>
      </c>
      <c r="M25" s="21" t="s">
        <v>70</v>
      </c>
      <c r="N25" s="61"/>
    </row>
    <row r="26" spans="1:14" ht="16.5" customHeight="1" x14ac:dyDescent="0.35">
      <c r="A26" s="18">
        <f>'Data Base Bule'!R27</f>
        <v>0</v>
      </c>
      <c r="B26" s="18" t="str">
        <f>CONCATENATE('Data Base Bule'!R27,"|",'Data Base Bule'!C27,"|",'Data Base Bule'!S27,"|",'Data Base Bule'!T27,"|",'Data Base Bule'!U27,"|","|","ID","|","|","ID","|","|")</f>
        <v>||||||ID||ID||</v>
      </c>
      <c r="C26" s="18" t="str">
        <f>CONCATENATE('Data Base Bule'!B27,"|",'Data Base Bule'!N27,"|",'Data Base Bule'!H27)</f>
        <v>||</v>
      </c>
      <c r="D26" s="17">
        <f>'Data Base Bule'!E27</f>
        <v>0</v>
      </c>
      <c r="E26" t="str">
        <f>CONCATENATE('Data Base Bule'!D27,"|",'Data Base Bule'!K27,"#",'Data Base Bule'!J27,"#",'Data Base Bule'!I27)</f>
        <v>|##</v>
      </c>
      <c r="F26" t="str">
        <f>CONCATENATE("A","|","|",'Data Base Bule'!L27)</f>
        <v>A||</v>
      </c>
      <c r="G26" t="s">
        <v>0</v>
      </c>
      <c r="H26" t="str">
        <f>CONCATENATE('Data Base Bule'!M27,"###")</f>
        <v>###</v>
      </c>
      <c r="I26" s="16" t="s">
        <v>53</v>
      </c>
      <c r="J26" t="s">
        <v>77</v>
      </c>
      <c r="K26" t="s">
        <v>0</v>
      </c>
      <c r="L26" s="16" t="s">
        <v>0</v>
      </c>
      <c r="M26" s="21" t="s">
        <v>70</v>
      </c>
      <c r="N26" s="61"/>
    </row>
    <row r="27" spans="1:14" ht="16.5" customHeight="1" x14ac:dyDescent="0.35">
      <c r="A27" s="18">
        <f>'Data Base Bule'!R28</f>
        <v>0</v>
      </c>
      <c r="B27" s="18" t="str">
        <f>CONCATENATE('Data Base Bule'!R28,"|",'Data Base Bule'!C28,"|",'Data Base Bule'!S28,"|",'Data Base Bule'!T28,"|",'Data Base Bule'!U28,"|","|","ID","|","|","ID","|","|")</f>
        <v>||||||ID||ID||</v>
      </c>
      <c r="C27" s="18" t="str">
        <f>CONCATENATE('Data Base Bule'!B28,"|",'Data Base Bule'!N28,"|",'Data Base Bule'!H28)</f>
        <v>||</v>
      </c>
      <c r="D27" s="17">
        <f>'Data Base Bule'!E28</f>
        <v>0</v>
      </c>
      <c r="E27" t="str">
        <f>CONCATENATE('Data Base Bule'!D28,"|",'Data Base Bule'!K28,"#",'Data Base Bule'!J28,"#",'Data Base Bule'!I28)</f>
        <v>|##</v>
      </c>
      <c r="F27" t="str">
        <f>CONCATENATE("A","|","|",'Data Base Bule'!L28)</f>
        <v>A||</v>
      </c>
      <c r="G27" t="s">
        <v>0</v>
      </c>
      <c r="H27" t="str">
        <f>CONCATENATE('Data Base Bule'!M28,"###")</f>
        <v>###</v>
      </c>
      <c r="I27" s="16" t="s">
        <v>53</v>
      </c>
      <c r="J27" t="s">
        <v>77</v>
      </c>
      <c r="K27" t="s">
        <v>0</v>
      </c>
      <c r="L27" s="16" t="s">
        <v>0</v>
      </c>
      <c r="M27" s="21" t="s">
        <v>70</v>
      </c>
      <c r="N27" s="61"/>
    </row>
    <row r="28" spans="1:14" ht="16.5" customHeight="1" x14ac:dyDescent="0.35">
      <c r="A28" s="18">
        <f>'Data Base Bule'!R29</f>
        <v>0</v>
      </c>
      <c r="B28" s="18" t="str">
        <f>CONCATENATE('Data Base Bule'!R29,"|",'Data Base Bule'!C29,"|",'Data Base Bule'!S29,"|",'Data Base Bule'!T29,"|",'Data Base Bule'!U29,"|","|","ID","|","|","ID","|","|")</f>
        <v>||||||ID||ID||</v>
      </c>
      <c r="C28" s="18" t="str">
        <f>CONCATENATE('Data Base Bule'!B29,"|",'Data Base Bule'!N29,"|",'Data Base Bule'!H29)</f>
        <v>||</v>
      </c>
      <c r="D28" s="17">
        <f>'Data Base Bule'!E29</f>
        <v>0</v>
      </c>
      <c r="E28" t="str">
        <f>CONCATENATE('Data Base Bule'!D29,"|",'Data Base Bule'!K29,"#",'Data Base Bule'!J29,"#",'Data Base Bule'!I29)</f>
        <v>|##</v>
      </c>
      <c r="F28" t="str">
        <f>CONCATENATE("A","|","|",'Data Base Bule'!L29)</f>
        <v>A||</v>
      </c>
      <c r="G28" t="s">
        <v>0</v>
      </c>
      <c r="H28" t="str">
        <f>CONCATENATE('Data Base Bule'!M29,"###")</f>
        <v>###</v>
      </c>
      <c r="I28" s="16" t="s">
        <v>53</v>
      </c>
      <c r="J28" t="s">
        <v>77</v>
      </c>
      <c r="K28" t="s">
        <v>0</v>
      </c>
      <c r="L28" s="16" t="s">
        <v>0</v>
      </c>
      <c r="M28" s="21" t="s">
        <v>70</v>
      </c>
      <c r="N28" s="61"/>
    </row>
    <row r="29" spans="1:14" ht="16.5" customHeight="1" x14ac:dyDescent="0.35">
      <c r="A29" s="18">
        <f>'Data Base Bule'!R30</f>
        <v>0</v>
      </c>
      <c r="B29" s="18" t="str">
        <f>CONCATENATE('Data Base Bule'!R30,"|",'Data Base Bule'!C30,"|",'Data Base Bule'!S30,"|",'Data Base Bule'!T30,"|",'Data Base Bule'!U30,"|","|","ID","|","|","ID","|","|")</f>
        <v>||||||ID||ID||</v>
      </c>
      <c r="C29" s="18" t="str">
        <f>CONCATENATE('Data Base Bule'!B30,"|",'Data Base Bule'!N30,"|",'Data Base Bule'!H30)</f>
        <v>||</v>
      </c>
      <c r="D29" s="17">
        <f>'Data Base Bule'!E30</f>
        <v>0</v>
      </c>
      <c r="E29" t="str">
        <f>CONCATENATE('Data Base Bule'!D30,"|",'Data Base Bule'!K30,"#",'Data Base Bule'!J30,"#",'Data Base Bule'!I30)</f>
        <v>|##</v>
      </c>
      <c r="F29" t="str">
        <f>CONCATENATE("A","|","|",'Data Base Bule'!L30)</f>
        <v>A||</v>
      </c>
      <c r="G29" t="s">
        <v>0</v>
      </c>
      <c r="H29" t="str">
        <f>CONCATENATE('Data Base Bule'!M30,"###")</f>
        <v>###</v>
      </c>
      <c r="I29" s="16" t="s">
        <v>53</v>
      </c>
      <c r="J29" t="s">
        <v>77</v>
      </c>
      <c r="K29" t="s">
        <v>0</v>
      </c>
      <c r="L29" s="16" t="s">
        <v>0</v>
      </c>
      <c r="M29" s="21" t="s">
        <v>70</v>
      </c>
      <c r="N29" s="61"/>
    </row>
    <row r="30" spans="1:14" ht="16.5" customHeight="1" x14ac:dyDescent="0.35">
      <c r="A30" s="18">
        <f>'Data Base Bule'!R31</f>
        <v>0</v>
      </c>
      <c r="B30" s="18" t="str">
        <f>CONCATENATE('Data Base Bule'!R31,"|",'Data Base Bule'!C31,"|",'Data Base Bule'!S31,"|",'Data Base Bule'!T31,"|",'Data Base Bule'!U31,"|","|","ID","|","|","ID","|","|")</f>
        <v>||||||ID||ID||</v>
      </c>
      <c r="C30" s="18" t="str">
        <f>CONCATENATE('Data Base Bule'!B31,"|",'Data Base Bule'!N31,"|",'Data Base Bule'!H31)</f>
        <v>||</v>
      </c>
      <c r="D30" s="17">
        <f>'Data Base Bule'!E31</f>
        <v>0</v>
      </c>
      <c r="E30" t="str">
        <f>CONCATENATE('Data Base Bule'!D31,"|",'Data Base Bule'!K31,"#",'Data Base Bule'!J31,"#",'Data Base Bule'!I31)</f>
        <v>|##</v>
      </c>
      <c r="F30" t="str">
        <f>CONCATENATE("A","|","|",'Data Base Bule'!L31)</f>
        <v>A||</v>
      </c>
      <c r="G30" t="s">
        <v>0</v>
      </c>
      <c r="H30" t="str">
        <f>CONCATENATE('Data Base Bule'!M31,"###")</f>
        <v>###</v>
      </c>
      <c r="I30" s="16" t="s">
        <v>53</v>
      </c>
      <c r="J30" t="s">
        <v>77</v>
      </c>
      <c r="K30" t="s">
        <v>0</v>
      </c>
      <c r="L30" s="16" t="s">
        <v>0</v>
      </c>
      <c r="M30" s="21" t="s">
        <v>70</v>
      </c>
      <c r="N30" s="61"/>
    </row>
    <row r="31" spans="1:14" ht="16.5" customHeight="1" x14ac:dyDescent="0.35">
      <c r="A31" s="18">
        <f>'Data Base Bule'!R32</f>
        <v>0</v>
      </c>
      <c r="B31" s="18" t="str">
        <f>CONCATENATE('Data Base Bule'!R32,"|",'Data Base Bule'!C32,"|",'Data Base Bule'!S32,"|",'Data Base Bule'!T32,"|",'Data Base Bule'!U32,"|","|","ID","|","|","ID","|","|")</f>
        <v>||||||ID||ID||</v>
      </c>
      <c r="C31" s="18" t="str">
        <f>CONCATENATE('Data Base Bule'!B32,"|",'Data Base Bule'!N32,"|",'Data Base Bule'!H32)</f>
        <v>||</v>
      </c>
      <c r="D31" s="17">
        <f>'Data Base Bule'!E32</f>
        <v>0</v>
      </c>
      <c r="E31" t="str">
        <f>CONCATENATE('Data Base Bule'!D32,"|",'Data Base Bule'!K32,"#",'Data Base Bule'!J32,"#",'Data Base Bule'!I32)</f>
        <v>|##</v>
      </c>
      <c r="F31" t="str">
        <f>CONCATENATE("A","|","|",'Data Base Bule'!L32)</f>
        <v>A||</v>
      </c>
      <c r="G31" t="s">
        <v>0</v>
      </c>
      <c r="H31" t="str">
        <f>CONCATENATE('Data Base Bule'!M32,"###")</f>
        <v>###</v>
      </c>
      <c r="I31" s="16" t="s">
        <v>53</v>
      </c>
      <c r="J31" t="s">
        <v>77</v>
      </c>
      <c r="K31" t="s">
        <v>0</v>
      </c>
      <c r="L31" s="16" t="s">
        <v>0</v>
      </c>
      <c r="M31" s="21" t="s">
        <v>70</v>
      </c>
      <c r="N31" s="61"/>
    </row>
    <row r="32" spans="1:14" ht="16.5" customHeight="1" x14ac:dyDescent="0.35">
      <c r="A32" s="18">
        <f>'Data Base Bule'!R33</f>
        <v>0</v>
      </c>
      <c r="B32" s="18" t="str">
        <f>CONCATENATE('Data Base Bule'!R33,"|",'Data Base Bule'!C33,"|",'Data Base Bule'!S33,"|",'Data Base Bule'!T33,"|",'Data Base Bule'!U33,"|","|","ID","|","|","ID","|","|")</f>
        <v>||||||ID||ID||</v>
      </c>
      <c r="C32" s="18" t="str">
        <f>CONCATENATE('Data Base Bule'!B33,"|",'Data Base Bule'!N33,"|",'Data Base Bule'!H33)</f>
        <v>||</v>
      </c>
      <c r="D32" s="17">
        <f>'Data Base Bule'!E33</f>
        <v>0</v>
      </c>
      <c r="E32" t="str">
        <f>CONCATENATE('Data Base Bule'!D33,"|",'Data Base Bule'!K33,"#",'Data Base Bule'!J33,"#",'Data Base Bule'!I33)</f>
        <v>|##</v>
      </c>
      <c r="F32" t="str">
        <f>CONCATENATE("A","|","|",'Data Base Bule'!L33)</f>
        <v>A||</v>
      </c>
      <c r="G32" t="s">
        <v>0</v>
      </c>
      <c r="H32" t="str">
        <f>CONCATENATE('Data Base Bule'!M33,"###")</f>
        <v>###</v>
      </c>
      <c r="I32" s="16" t="s">
        <v>53</v>
      </c>
      <c r="J32" t="s">
        <v>77</v>
      </c>
      <c r="K32" t="s">
        <v>0</v>
      </c>
      <c r="L32" s="16" t="s">
        <v>0</v>
      </c>
      <c r="M32" s="21" t="s">
        <v>70</v>
      </c>
      <c r="N32" s="61"/>
    </row>
    <row r="33" spans="1:14" ht="16.5" customHeight="1" x14ac:dyDescent="0.35">
      <c r="A33" s="18">
        <f>'Data Base Bule'!R34</f>
        <v>0</v>
      </c>
      <c r="B33" s="18" t="str">
        <f>CONCATENATE('Data Base Bule'!R34,"|",'Data Base Bule'!C34,"|",'Data Base Bule'!S34,"|",'Data Base Bule'!T34,"|",'Data Base Bule'!U34,"|","|","ID","|","|","ID","|","|")</f>
        <v>||||||ID||ID||</v>
      </c>
      <c r="C33" s="18" t="str">
        <f>CONCATENATE('Data Base Bule'!B34,"|",'Data Base Bule'!N34,"|",'Data Base Bule'!H34)</f>
        <v>||</v>
      </c>
      <c r="D33" s="17">
        <f>'Data Base Bule'!E34</f>
        <v>0</v>
      </c>
      <c r="E33" t="str">
        <f>CONCATENATE('Data Base Bule'!D34,"|",'Data Base Bule'!K34,"#",'Data Base Bule'!J34,"#",'Data Base Bule'!I34)</f>
        <v>|##</v>
      </c>
      <c r="F33" t="str">
        <f>CONCATENATE("A","|","|",'Data Base Bule'!L34)</f>
        <v>A||</v>
      </c>
      <c r="G33" t="s">
        <v>0</v>
      </c>
      <c r="H33" t="str">
        <f>CONCATENATE('Data Base Bule'!M34,"###")</f>
        <v>###</v>
      </c>
      <c r="I33" s="16" t="s">
        <v>53</v>
      </c>
      <c r="J33" t="s">
        <v>77</v>
      </c>
      <c r="K33" t="s">
        <v>0</v>
      </c>
      <c r="L33" s="16" t="s">
        <v>0</v>
      </c>
      <c r="M33" s="21" t="s">
        <v>70</v>
      </c>
      <c r="N33" s="61"/>
    </row>
    <row r="34" spans="1:14" ht="16.5" customHeight="1" x14ac:dyDescent="0.35">
      <c r="A34" s="18">
        <f>'Data Base Bule'!R35</f>
        <v>0</v>
      </c>
      <c r="B34" s="18" t="str">
        <f>CONCATENATE('Data Base Bule'!R35,"|",'Data Base Bule'!C35,"|",'Data Base Bule'!S35,"|",'Data Base Bule'!T35,"|",'Data Base Bule'!U35,"|","|","ID","|","|","ID","|","|")</f>
        <v>||||||ID||ID||</v>
      </c>
      <c r="C34" s="18" t="str">
        <f>CONCATENATE('Data Base Bule'!B35,"|",'Data Base Bule'!N35,"|",'Data Base Bule'!H35)</f>
        <v>||</v>
      </c>
      <c r="D34" s="17">
        <f>'Data Base Bule'!E35</f>
        <v>0</v>
      </c>
      <c r="E34" t="str">
        <f>CONCATENATE('Data Base Bule'!D35,"|",'Data Base Bule'!K35,"#",'Data Base Bule'!J35,"#",'Data Base Bule'!I35)</f>
        <v>|##</v>
      </c>
      <c r="F34" t="str">
        <f>CONCATENATE("A","|","|",'Data Base Bule'!L35)</f>
        <v>A||</v>
      </c>
      <c r="G34" t="s">
        <v>0</v>
      </c>
      <c r="H34" t="str">
        <f>CONCATENATE('Data Base Bule'!M35,"###")</f>
        <v>###</v>
      </c>
      <c r="I34" s="16" t="s">
        <v>53</v>
      </c>
      <c r="J34" t="s">
        <v>77</v>
      </c>
      <c r="K34" t="s">
        <v>0</v>
      </c>
      <c r="L34" s="16" t="s">
        <v>0</v>
      </c>
      <c r="M34" s="21" t="s">
        <v>70</v>
      </c>
      <c r="N34" s="61"/>
    </row>
    <row r="35" spans="1:14" ht="16.5" customHeight="1" x14ac:dyDescent="0.35">
      <c r="A35" s="18">
        <f>'Data Base Bule'!R36</f>
        <v>0</v>
      </c>
      <c r="B35" s="18" t="str">
        <f>CONCATENATE('Data Base Bule'!R36,"|",'Data Base Bule'!C36,"|",'Data Base Bule'!S36,"|",'Data Base Bule'!T36,"|",'Data Base Bule'!U36,"|","|","ID","|","|","ID","|","|")</f>
        <v>||||||ID||ID||</v>
      </c>
      <c r="C35" s="18" t="str">
        <f>CONCATENATE('Data Base Bule'!B36,"|",'Data Base Bule'!N36,"|",'Data Base Bule'!H36)</f>
        <v>||</v>
      </c>
      <c r="D35" s="17">
        <f>'Data Base Bule'!E36</f>
        <v>0</v>
      </c>
      <c r="E35" t="str">
        <f>CONCATENATE('Data Base Bule'!D36,"|",'Data Base Bule'!K36,"#",'Data Base Bule'!J36,"#",'Data Base Bule'!I36)</f>
        <v>|##</v>
      </c>
      <c r="F35" t="str">
        <f>CONCATENATE("A","|","|",'Data Base Bule'!L36)</f>
        <v>A||</v>
      </c>
      <c r="G35" t="s">
        <v>0</v>
      </c>
      <c r="H35" t="str">
        <f>CONCATENATE('Data Base Bule'!M36,"###")</f>
        <v>###</v>
      </c>
      <c r="I35" s="16" t="s">
        <v>53</v>
      </c>
      <c r="J35" t="s">
        <v>77</v>
      </c>
      <c r="K35" t="s">
        <v>0</v>
      </c>
      <c r="L35" s="16" t="s">
        <v>0</v>
      </c>
      <c r="M35" s="21" t="s">
        <v>70</v>
      </c>
      <c r="N35" s="61"/>
    </row>
    <row r="36" spans="1:14" ht="16.5" customHeight="1" x14ac:dyDescent="0.35">
      <c r="A36" s="18">
        <f>'Data Base Bule'!R37</f>
        <v>0</v>
      </c>
      <c r="B36" s="18" t="str">
        <f>CONCATENATE('Data Base Bule'!R37,"|",'Data Base Bule'!C37,"|",'Data Base Bule'!S37,"|",'Data Base Bule'!T37,"|",'Data Base Bule'!U37,"|","|","ID","|","|","ID","|","|")</f>
        <v>||||||ID||ID||</v>
      </c>
      <c r="C36" s="18" t="str">
        <f>CONCATENATE('Data Base Bule'!B37,"|",'Data Base Bule'!N37,"|",'Data Base Bule'!H37)</f>
        <v>||</v>
      </c>
      <c r="D36" s="17">
        <f>'Data Base Bule'!E37</f>
        <v>0</v>
      </c>
      <c r="E36" t="str">
        <f>CONCATENATE('Data Base Bule'!D37,"|",'Data Base Bule'!K37,"#",'Data Base Bule'!J37,"#",'Data Base Bule'!I37)</f>
        <v>|##</v>
      </c>
      <c r="F36" t="str">
        <f>CONCATENATE("A","|","|",'Data Base Bule'!L37)</f>
        <v>A||</v>
      </c>
      <c r="G36" t="s">
        <v>0</v>
      </c>
      <c r="H36" t="str">
        <f>CONCATENATE('Data Base Bule'!M37,"###")</f>
        <v>###</v>
      </c>
      <c r="I36" s="16" t="s">
        <v>53</v>
      </c>
      <c r="J36" t="s">
        <v>77</v>
      </c>
      <c r="K36" t="s">
        <v>0</v>
      </c>
      <c r="L36" s="16" t="s">
        <v>0</v>
      </c>
      <c r="M36" s="21" t="s">
        <v>70</v>
      </c>
      <c r="N36" s="61"/>
    </row>
    <row r="37" spans="1:14" ht="16.5" customHeight="1" x14ac:dyDescent="0.35">
      <c r="A37" s="18">
        <f>'Data Base Bule'!R38</f>
        <v>0</v>
      </c>
      <c r="B37" s="18" t="str">
        <f>CONCATENATE('Data Base Bule'!R38,"|",'Data Base Bule'!C38,"|",'Data Base Bule'!S38,"|",'Data Base Bule'!T38,"|",'Data Base Bule'!U38,"|","|","ID","|","|","ID","|","|")</f>
        <v>||||||ID||ID||</v>
      </c>
      <c r="C37" s="18" t="str">
        <f>CONCATENATE('Data Base Bule'!B38,"|",'Data Base Bule'!N38,"|",'Data Base Bule'!H38)</f>
        <v>||</v>
      </c>
      <c r="D37" s="17">
        <f>'Data Base Bule'!E38</f>
        <v>0</v>
      </c>
      <c r="E37" t="str">
        <f>CONCATENATE('Data Base Bule'!D38,"|",'Data Base Bule'!K38,"#",'Data Base Bule'!J38,"#",'Data Base Bule'!I38)</f>
        <v>|##</v>
      </c>
      <c r="F37" t="str">
        <f>CONCATENATE("A","|","|",'Data Base Bule'!L38)</f>
        <v>A||</v>
      </c>
      <c r="G37" t="s">
        <v>0</v>
      </c>
      <c r="H37" t="str">
        <f>CONCATENATE('Data Base Bule'!M38,"###")</f>
        <v>###</v>
      </c>
      <c r="I37" s="16" t="s">
        <v>53</v>
      </c>
      <c r="J37" t="s">
        <v>77</v>
      </c>
      <c r="K37" t="s">
        <v>0</v>
      </c>
      <c r="L37" s="16" t="s">
        <v>0</v>
      </c>
      <c r="M37" s="21" t="s">
        <v>70</v>
      </c>
      <c r="N37" s="61"/>
    </row>
    <row r="38" spans="1:14" ht="16.5" customHeight="1" x14ac:dyDescent="0.35">
      <c r="A38" s="18">
        <f>'Data Base Bule'!R39</f>
        <v>0</v>
      </c>
      <c r="B38" s="18" t="str">
        <f>CONCATENATE('Data Base Bule'!R39,"|",'Data Base Bule'!C39,"|",'Data Base Bule'!S39,"|",'Data Base Bule'!T39,"|",'Data Base Bule'!U39,"|","|","ID","|","|","ID","|","|")</f>
        <v>||||||ID||ID||</v>
      </c>
      <c r="C38" s="18" t="str">
        <f>CONCATENATE('Data Base Bule'!B39,"|",'Data Base Bule'!N39,"|",'Data Base Bule'!H39)</f>
        <v>||</v>
      </c>
      <c r="D38" s="17">
        <f>'Data Base Bule'!E39</f>
        <v>0</v>
      </c>
      <c r="E38" t="str">
        <f>CONCATENATE('Data Base Bule'!D39,"|",'Data Base Bule'!K39,"#",'Data Base Bule'!J39,"#",'Data Base Bule'!I39)</f>
        <v>|##</v>
      </c>
      <c r="F38" t="str">
        <f>CONCATENATE("A","|","|",'Data Base Bule'!L39)</f>
        <v>A||</v>
      </c>
      <c r="G38" t="s">
        <v>0</v>
      </c>
      <c r="H38" t="str">
        <f>CONCATENATE('Data Base Bule'!M39,"###")</f>
        <v>###</v>
      </c>
      <c r="I38" s="16" t="s">
        <v>53</v>
      </c>
      <c r="J38" t="s">
        <v>77</v>
      </c>
      <c r="K38" t="s">
        <v>0</v>
      </c>
      <c r="L38" s="16" t="s">
        <v>0</v>
      </c>
      <c r="M38" s="21" t="s">
        <v>70</v>
      </c>
      <c r="N38" s="61"/>
    </row>
    <row r="39" spans="1:14" ht="16.5" customHeight="1" x14ac:dyDescent="0.35">
      <c r="A39" s="18">
        <f>'Data Base Bule'!R40</f>
        <v>0</v>
      </c>
      <c r="B39" s="18" t="str">
        <f>CONCATENATE('Data Base Bule'!R40,"|",'Data Base Bule'!C40,"|",'Data Base Bule'!S40,"|",'Data Base Bule'!T40,"|",'Data Base Bule'!U40,"|","|","ID","|","|","ID","|","|")</f>
        <v>||||||ID||ID||</v>
      </c>
      <c r="C39" s="18" t="str">
        <f>CONCATENATE('Data Base Bule'!B40,"|",'Data Base Bule'!N40,"|",'Data Base Bule'!H40)</f>
        <v>||</v>
      </c>
      <c r="D39" s="17">
        <f>'Data Base Bule'!E40</f>
        <v>0</v>
      </c>
      <c r="E39" t="str">
        <f>CONCATENATE('Data Base Bule'!D40,"|",'Data Base Bule'!K40,"#",'Data Base Bule'!J40,"#",'Data Base Bule'!I40)</f>
        <v>|##</v>
      </c>
      <c r="F39" t="str">
        <f>CONCATENATE("A","|","|",'Data Base Bule'!L40)</f>
        <v>A||</v>
      </c>
      <c r="G39" t="s">
        <v>0</v>
      </c>
      <c r="H39" t="str">
        <f>CONCATENATE('Data Base Bule'!M40,"###")</f>
        <v>###</v>
      </c>
      <c r="I39" s="16" t="s">
        <v>53</v>
      </c>
      <c r="J39" t="s">
        <v>77</v>
      </c>
      <c r="K39" t="s">
        <v>0</v>
      </c>
      <c r="L39" s="16" t="s">
        <v>0</v>
      </c>
      <c r="M39" s="21" t="s">
        <v>70</v>
      </c>
      <c r="N39" s="61"/>
    </row>
    <row r="40" spans="1:14" ht="16.5" customHeight="1" x14ac:dyDescent="0.35">
      <c r="A40" s="18">
        <f>'Data Base Bule'!R41</f>
        <v>0</v>
      </c>
      <c r="B40" s="18" t="str">
        <f>CONCATENATE('Data Base Bule'!R41,"|",'Data Base Bule'!C41,"|",'Data Base Bule'!S41,"|",'Data Base Bule'!T41,"|",'Data Base Bule'!U41,"|","|","ID","|","|","ID","|","|")</f>
        <v>||||||ID||ID||</v>
      </c>
      <c r="C40" s="18" t="str">
        <f>CONCATENATE('Data Base Bule'!B41,"|",'Data Base Bule'!N41,"|",'Data Base Bule'!H41)</f>
        <v>||</v>
      </c>
      <c r="D40" s="17">
        <f>'Data Base Bule'!E41</f>
        <v>0</v>
      </c>
      <c r="E40" t="str">
        <f>CONCATENATE('Data Base Bule'!D41,"|",'Data Base Bule'!K41,"#",'Data Base Bule'!J41,"#",'Data Base Bule'!I41)</f>
        <v>|##</v>
      </c>
      <c r="F40" t="str">
        <f>CONCATENATE("A","|","|",'Data Base Bule'!L41)</f>
        <v>A||</v>
      </c>
      <c r="G40" t="s">
        <v>0</v>
      </c>
      <c r="H40" t="str">
        <f>CONCATENATE('Data Base Bule'!M41,"###")</f>
        <v>###</v>
      </c>
      <c r="I40" s="16" t="s">
        <v>53</v>
      </c>
      <c r="J40" t="s">
        <v>77</v>
      </c>
      <c r="K40" t="s">
        <v>0</v>
      </c>
      <c r="L40" s="16" t="s">
        <v>0</v>
      </c>
      <c r="M40" s="21" t="s">
        <v>70</v>
      </c>
      <c r="N40" s="61"/>
    </row>
    <row r="41" spans="1:14" ht="16.5" customHeight="1" x14ac:dyDescent="0.35">
      <c r="A41" s="18">
        <f>'Data Base Bule'!R42</f>
        <v>0</v>
      </c>
      <c r="B41" s="18" t="str">
        <f>CONCATENATE('Data Base Bule'!R42,"|",'Data Base Bule'!C42,"|",'Data Base Bule'!S42,"|",'Data Base Bule'!T42,"|",'Data Base Bule'!U42,"|","|","ID","|","|","ID","|","|")</f>
        <v>||||||ID||ID||</v>
      </c>
      <c r="C41" s="18" t="str">
        <f>CONCATENATE('Data Base Bule'!B42,"|",'Data Base Bule'!N42,"|",'Data Base Bule'!H42)</f>
        <v>||</v>
      </c>
      <c r="D41" s="17">
        <f>'Data Base Bule'!E42</f>
        <v>0</v>
      </c>
      <c r="E41" t="str">
        <f>CONCATENATE('Data Base Bule'!D42,"|",'Data Base Bule'!K42,"#",'Data Base Bule'!J42,"#",'Data Base Bule'!I42)</f>
        <v>|##</v>
      </c>
      <c r="F41" t="str">
        <f>CONCATENATE("A","|","|",'Data Base Bule'!L42)</f>
        <v>A||</v>
      </c>
      <c r="G41" t="s">
        <v>0</v>
      </c>
      <c r="H41" t="str">
        <f>CONCATENATE('Data Base Bule'!M42,"###")</f>
        <v>###</v>
      </c>
      <c r="I41" s="16" t="s">
        <v>53</v>
      </c>
      <c r="J41" t="s">
        <v>77</v>
      </c>
      <c r="K41" t="s">
        <v>0</v>
      </c>
      <c r="L41" s="16" t="s">
        <v>0</v>
      </c>
      <c r="M41" s="21" t="s">
        <v>70</v>
      </c>
      <c r="N41" s="61"/>
    </row>
    <row r="42" spans="1:14" ht="16.5" customHeight="1" x14ac:dyDescent="0.35">
      <c r="A42" s="18">
        <f>'Data Base Bule'!R43</f>
        <v>0</v>
      </c>
      <c r="B42" s="18" t="str">
        <f>CONCATENATE('Data Base Bule'!R43,"|",'Data Base Bule'!C43,"|",'Data Base Bule'!S43,"|",'Data Base Bule'!T43,"|",'Data Base Bule'!U43,"|","|","ID","|","|","ID","|","|")</f>
        <v>||||||ID||ID||</v>
      </c>
      <c r="C42" s="18" t="str">
        <f>CONCATENATE('Data Base Bule'!B43,"|",'Data Base Bule'!N43,"|",'Data Base Bule'!H43)</f>
        <v>||</v>
      </c>
      <c r="D42" s="17">
        <f>'Data Base Bule'!E43</f>
        <v>0</v>
      </c>
      <c r="E42" t="str">
        <f>CONCATENATE('Data Base Bule'!D43,"|",'Data Base Bule'!K43,"#",'Data Base Bule'!J43,"#",'Data Base Bule'!I43)</f>
        <v>|##</v>
      </c>
      <c r="F42" t="str">
        <f>CONCATENATE("A","|","|",'Data Base Bule'!L43)</f>
        <v>A||</v>
      </c>
      <c r="G42" t="s">
        <v>0</v>
      </c>
      <c r="H42" t="str">
        <f>CONCATENATE('Data Base Bule'!M43,"###")</f>
        <v>###</v>
      </c>
      <c r="I42" s="16" t="s">
        <v>53</v>
      </c>
      <c r="J42" t="s">
        <v>77</v>
      </c>
      <c r="K42" t="s">
        <v>0</v>
      </c>
      <c r="L42" s="16" t="s">
        <v>0</v>
      </c>
      <c r="M42" s="21" t="s">
        <v>70</v>
      </c>
      <c r="N42" s="61"/>
    </row>
    <row r="43" spans="1:14" ht="16.5" customHeight="1" x14ac:dyDescent="0.35">
      <c r="A43" s="18">
        <f>'Data Base Bule'!R44</f>
        <v>0</v>
      </c>
      <c r="B43" s="18" t="str">
        <f>CONCATENATE('Data Base Bule'!R44,"|",'Data Base Bule'!C44,"|",'Data Base Bule'!S44,"|",'Data Base Bule'!T44,"|",'Data Base Bule'!U44,"|","|","ID","|","|","ID","|","|")</f>
        <v>||||||ID||ID||</v>
      </c>
      <c r="C43" s="18" t="str">
        <f>CONCATENATE('Data Base Bule'!B44,"|",'Data Base Bule'!N44,"|",'Data Base Bule'!H44)</f>
        <v>||</v>
      </c>
      <c r="D43" s="17">
        <f>'Data Base Bule'!E44</f>
        <v>0</v>
      </c>
      <c r="E43" t="str">
        <f>CONCATENATE('Data Base Bule'!D44,"|",'Data Base Bule'!K44,"#",'Data Base Bule'!J44,"#",'Data Base Bule'!I44)</f>
        <v>|##</v>
      </c>
      <c r="F43" t="str">
        <f>CONCATENATE("A","|","|",'Data Base Bule'!L44)</f>
        <v>A||</v>
      </c>
      <c r="G43" t="s">
        <v>0</v>
      </c>
      <c r="H43" t="str">
        <f>CONCATENATE('Data Base Bule'!M44,"###")</f>
        <v>###</v>
      </c>
      <c r="I43" s="16" t="s">
        <v>53</v>
      </c>
      <c r="J43" t="s">
        <v>77</v>
      </c>
      <c r="K43" t="s">
        <v>0</v>
      </c>
      <c r="L43" s="16" t="s">
        <v>0</v>
      </c>
      <c r="M43" s="21" t="s">
        <v>70</v>
      </c>
      <c r="N43" s="61"/>
    </row>
    <row r="44" spans="1:14" ht="16.5" customHeight="1" x14ac:dyDescent="0.35">
      <c r="A44" s="18">
        <f>'Data Base Bule'!R45</f>
        <v>0</v>
      </c>
      <c r="B44" s="18" t="str">
        <f>CONCATENATE('Data Base Bule'!R45,"|",'Data Base Bule'!C45,"|",'Data Base Bule'!S45,"|",'Data Base Bule'!T45,"|",'Data Base Bule'!U45,"|","|","ID","|","|","ID","|","|")</f>
        <v>||||||ID||ID||</v>
      </c>
      <c r="C44" s="18" t="str">
        <f>CONCATENATE('Data Base Bule'!B45,"|",'Data Base Bule'!N45,"|",'Data Base Bule'!H45)</f>
        <v>||</v>
      </c>
      <c r="D44" s="17">
        <f>'Data Base Bule'!E45</f>
        <v>0</v>
      </c>
      <c r="E44" t="str">
        <f>CONCATENATE('Data Base Bule'!D45,"|",'Data Base Bule'!K45,"#",'Data Base Bule'!J45,"#",'Data Base Bule'!I45)</f>
        <v>|##</v>
      </c>
      <c r="F44" t="str">
        <f>CONCATENATE("A","|","|",'Data Base Bule'!L45)</f>
        <v>A||</v>
      </c>
      <c r="G44" t="s">
        <v>0</v>
      </c>
      <c r="H44" t="str">
        <f>CONCATENATE('Data Base Bule'!M45,"###")</f>
        <v>###</v>
      </c>
      <c r="I44" s="16" t="s">
        <v>53</v>
      </c>
      <c r="J44" t="s">
        <v>77</v>
      </c>
      <c r="K44" t="s">
        <v>0</v>
      </c>
      <c r="L44" s="16" t="s">
        <v>0</v>
      </c>
      <c r="M44" s="21" t="s">
        <v>70</v>
      </c>
      <c r="N44" s="61"/>
    </row>
    <row r="45" spans="1:14" ht="16.5" customHeight="1" x14ac:dyDescent="0.35">
      <c r="A45" s="18">
        <f>'Data Base Bule'!R46</f>
        <v>0</v>
      </c>
      <c r="B45" s="18" t="str">
        <f>CONCATENATE('Data Base Bule'!R46,"|",'Data Base Bule'!C46,"|",'Data Base Bule'!S46,"|",'Data Base Bule'!T46,"|",'Data Base Bule'!U46,"|","|","ID","|","|","ID","|","|")</f>
        <v>||||||ID||ID||</v>
      </c>
      <c r="C45" s="18" t="str">
        <f>CONCATENATE('Data Base Bule'!B46,"|",'Data Base Bule'!N46,"|",'Data Base Bule'!H46)</f>
        <v>||</v>
      </c>
      <c r="D45" s="17">
        <f>'Data Base Bule'!E46</f>
        <v>0</v>
      </c>
      <c r="E45" t="str">
        <f>CONCATENATE('Data Base Bule'!D46,"|",'Data Base Bule'!K46,"#",'Data Base Bule'!J46,"#",'Data Base Bule'!I46)</f>
        <v>|##</v>
      </c>
      <c r="F45" t="str">
        <f>CONCATENATE("A","|","|",'Data Base Bule'!L46)</f>
        <v>A||</v>
      </c>
      <c r="G45" t="s">
        <v>0</v>
      </c>
      <c r="H45" t="str">
        <f>CONCATENATE('Data Base Bule'!M46,"###")</f>
        <v>###</v>
      </c>
      <c r="I45" s="16" t="s">
        <v>53</v>
      </c>
      <c r="J45" t="s">
        <v>77</v>
      </c>
      <c r="K45" t="s">
        <v>0</v>
      </c>
      <c r="L45" s="16" t="s">
        <v>0</v>
      </c>
      <c r="M45" s="21" t="s">
        <v>70</v>
      </c>
      <c r="N45" s="61"/>
    </row>
    <row r="46" spans="1:14" ht="16.5" customHeight="1" x14ac:dyDescent="0.35">
      <c r="A46" s="18">
        <f>'Data Base Bule'!R47</f>
        <v>0</v>
      </c>
      <c r="B46" s="18" t="str">
        <f>CONCATENATE('Data Base Bule'!R47,"|",'Data Base Bule'!C47,"|",'Data Base Bule'!S47,"|",'Data Base Bule'!T47,"|",'Data Base Bule'!U47,"|","|","ID","|","|","ID","|","|")</f>
        <v>||||||ID||ID||</v>
      </c>
      <c r="C46" s="18" t="str">
        <f>CONCATENATE('Data Base Bule'!B47,"|",'Data Base Bule'!N47,"|",'Data Base Bule'!H47)</f>
        <v>||</v>
      </c>
      <c r="D46" s="17">
        <f>'Data Base Bule'!E47</f>
        <v>0</v>
      </c>
      <c r="E46" t="str">
        <f>CONCATENATE('Data Base Bule'!D47,"|",'Data Base Bule'!K47,"#",'Data Base Bule'!J47,"#",'Data Base Bule'!I47)</f>
        <v>|##</v>
      </c>
      <c r="F46" t="str">
        <f>CONCATENATE("A","|","|",'Data Base Bule'!L47)</f>
        <v>A||</v>
      </c>
      <c r="G46" t="s">
        <v>0</v>
      </c>
      <c r="H46" t="str">
        <f>CONCATENATE('Data Base Bule'!M47,"###")</f>
        <v>###</v>
      </c>
      <c r="I46" s="16" t="s">
        <v>53</v>
      </c>
      <c r="J46" t="s">
        <v>77</v>
      </c>
      <c r="K46" t="s">
        <v>0</v>
      </c>
      <c r="L46" s="16" t="s">
        <v>0</v>
      </c>
      <c r="M46" s="21" t="s">
        <v>70</v>
      </c>
      <c r="N46" s="61"/>
    </row>
    <row r="47" spans="1:14" ht="16.5" customHeight="1" x14ac:dyDescent="0.35">
      <c r="A47" s="18">
        <f>'Data Base Bule'!R48</f>
        <v>0</v>
      </c>
      <c r="B47" s="18" t="str">
        <f>CONCATENATE('Data Base Bule'!R48,"|",'Data Base Bule'!C48,"|",'Data Base Bule'!S48,"|",'Data Base Bule'!T48,"|",'Data Base Bule'!U48,"|","|","ID","|","|","ID","|","|")</f>
        <v>||||||ID||ID||</v>
      </c>
      <c r="C47" s="18" t="str">
        <f>CONCATENATE('Data Base Bule'!B48,"|",'Data Base Bule'!N48,"|",'Data Base Bule'!H48)</f>
        <v>||</v>
      </c>
      <c r="D47" s="17">
        <f>'Data Base Bule'!E48</f>
        <v>0</v>
      </c>
      <c r="E47" t="str">
        <f>CONCATENATE('Data Base Bule'!D48,"|",'Data Base Bule'!K48,"#",'Data Base Bule'!J48,"#",'Data Base Bule'!I48)</f>
        <v>|##</v>
      </c>
      <c r="F47" t="str">
        <f>CONCATENATE("A","|","|",'Data Base Bule'!L48)</f>
        <v>A||</v>
      </c>
      <c r="G47" t="s">
        <v>0</v>
      </c>
      <c r="H47" t="str">
        <f>CONCATENATE('Data Base Bule'!M48,"###")</f>
        <v>###</v>
      </c>
      <c r="I47" s="16" t="s">
        <v>53</v>
      </c>
      <c r="J47" t="s">
        <v>77</v>
      </c>
      <c r="K47" t="s">
        <v>0</v>
      </c>
      <c r="L47" s="16" t="s">
        <v>0</v>
      </c>
      <c r="M47" s="21" t="s">
        <v>70</v>
      </c>
    </row>
    <row r="48" spans="1:14" ht="16.5" customHeight="1" x14ac:dyDescent="0.35">
      <c r="A48" s="18">
        <f>'Data Base Bule'!R49</f>
        <v>0</v>
      </c>
      <c r="B48" s="18" t="str">
        <f>CONCATENATE('Data Base Bule'!R49,"|",'Data Base Bule'!C49,"|",'Data Base Bule'!S49,"|",'Data Base Bule'!T49,"|",'Data Base Bule'!U49,"|","|","ID","|","|","ID","|","|")</f>
        <v>||||||ID||ID||</v>
      </c>
      <c r="C48" s="18" t="str">
        <f>CONCATENATE('Data Base Bule'!B49,"|",'Data Base Bule'!N49,"|",'Data Base Bule'!H49)</f>
        <v>||</v>
      </c>
      <c r="D48" s="17">
        <f>'Data Base Bule'!E49</f>
        <v>0</v>
      </c>
      <c r="E48" t="str">
        <f>CONCATENATE('Data Base Bule'!D49,"|",'Data Base Bule'!K49,"#",'Data Base Bule'!J49,"#",'Data Base Bule'!I49)</f>
        <v>|##</v>
      </c>
      <c r="F48" t="str">
        <f>CONCATENATE("A","|","|",'Data Base Bule'!L49)</f>
        <v>A||</v>
      </c>
      <c r="G48" t="s">
        <v>0</v>
      </c>
      <c r="H48" t="str">
        <f>CONCATENATE('Data Base Bule'!M49,"###")</f>
        <v>###</v>
      </c>
      <c r="I48" s="16" t="s">
        <v>53</v>
      </c>
      <c r="J48" t="s">
        <v>77</v>
      </c>
      <c r="K48" t="s">
        <v>0</v>
      </c>
      <c r="L48" s="16" t="s">
        <v>0</v>
      </c>
      <c r="M48" s="21" t="s">
        <v>70</v>
      </c>
    </row>
    <row r="49" spans="1:13" ht="16.5" customHeight="1" x14ac:dyDescent="0.35">
      <c r="A49" s="18">
        <f>'Data Base Bule'!R50</f>
        <v>0</v>
      </c>
      <c r="B49" s="18" t="str">
        <f>CONCATENATE('Data Base Bule'!R50,"|",'Data Base Bule'!C50,"|",'Data Base Bule'!S50,"|",'Data Base Bule'!T50,"|",'Data Base Bule'!U50,"|","|","ID","|","|","ID","|","|")</f>
        <v>||||||ID||ID||</v>
      </c>
      <c r="C49" s="18" t="str">
        <f>CONCATENATE('Data Base Bule'!B50,"|",'Data Base Bule'!N50,"|",'Data Base Bule'!H50)</f>
        <v>||</v>
      </c>
      <c r="D49" s="17">
        <f>'Data Base Bule'!E50</f>
        <v>0</v>
      </c>
      <c r="E49" t="str">
        <f>CONCATENATE('Data Base Bule'!D50,"|",'Data Base Bule'!K50,"#",'Data Base Bule'!J50,"#",'Data Base Bule'!I50)</f>
        <v>|##</v>
      </c>
      <c r="F49" t="str">
        <f>CONCATENATE("A","|","|",'Data Base Bule'!L50)</f>
        <v>A||</v>
      </c>
      <c r="G49" t="s">
        <v>0</v>
      </c>
      <c r="H49" t="str">
        <f>CONCATENATE('Data Base Bule'!M50,"###")</f>
        <v>###</v>
      </c>
      <c r="I49" s="16" t="s">
        <v>53</v>
      </c>
      <c r="J49" t="s">
        <v>77</v>
      </c>
      <c r="K49" t="s">
        <v>0</v>
      </c>
      <c r="L49" s="16" t="s">
        <v>0</v>
      </c>
      <c r="M49" s="21" t="s">
        <v>70</v>
      </c>
    </row>
    <row r="50" spans="1:13" ht="16.5" customHeight="1" x14ac:dyDescent="0.35">
      <c r="A50" s="18">
        <f>'Data Base Bule'!R51</f>
        <v>0</v>
      </c>
      <c r="B50" s="18" t="str">
        <f>CONCATENATE('Data Base Bule'!R51,"|",'Data Base Bule'!C51,"|",'Data Base Bule'!S51,"|",'Data Base Bule'!T51,"|",'Data Base Bule'!U51,"|","|","ID","|","|","ID","|","|")</f>
        <v>||||||ID||ID||</v>
      </c>
      <c r="C50" s="18" t="str">
        <f>CONCATENATE('Data Base Bule'!B51,"|",'Data Base Bule'!N51,"|",'Data Base Bule'!H51)</f>
        <v>||</v>
      </c>
      <c r="D50" s="17">
        <f>'Data Base Bule'!E51</f>
        <v>0</v>
      </c>
      <c r="E50" t="str">
        <f>CONCATENATE('Data Base Bule'!D51,"|",'Data Base Bule'!K51,"#",'Data Base Bule'!J51,"#",'Data Base Bule'!I51)</f>
        <v>|##</v>
      </c>
      <c r="F50" t="str">
        <f>CONCATENATE("A","|","|",'Data Base Bule'!L51)</f>
        <v>A||</v>
      </c>
      <c r="G50" t="s">
        <v>0</v>
      </c>
      <c r="H50" t="str">
        <f>CONCATENATE('Data Base Bule'!M51,"###")</f>
        <v>###</v>
      </c>
      <c r="I50" s="16" t="s">
        <v>53</v>
      </c>
      <c r="J50" t="s">
        <v>77</v>
      </c>
    </row>
    <row r="51" spans="1:13" ht="16.5" customHeight="1" x14ac:dyDescent="0.35">
      <c r="A51" s="18">
        <f>'Data Base Bule'!R52</f>
        <v>0</v>
      </c>
      <c r="B51" s="18" t="str">
        <f>CONCATENATE('Data Base Bule'!R52,"|",'Data Base Bule'!C52,"|",'Data Base Bule'!S52,"|",'Data Base Bule'!T52,"|",'Data Base Bule'!U52,"|","|","ID","|","|","ID","|","|")</f>
        <v>||||||ID||ID||</v>
      </c>
      <c r="C51" s="18" t="str">
        <f>CONCATENATE('Data Base Bule'!B52,"|",'Data Base Bule'!N52,"|",'Data Base Bule'!H52)</f>
        <v>||</v>
      </c>
      <c r="D51" s="17">
        <f>'Data Base Bule'!E52</f>
        <v>0</v>
      </c>
      <c r="E51" t="str">
        <f>CONCATENATE('Data Base Bule'!D52,"|",'Data Base Bule'!K52,"#",'Data Base Bule'!J52,"#",'Data Base Bule'!I52)</f>
        <v>|##</v>
      </c>
      <c r="F51" t="str">
        <f>CONCATENATE("A","|","|",'Data Base Bule'!L52)</f>
        <v>A||</v>
      </c>
      <c r="G51" t="s">
        <v>0</v>
      </c>
      <c r="H51" t="str">
        <f>CONCATENATE('Data Base Bule'!M52,"###")</f>
        <v>###</v>
      </c>
      <c r="I51" s="16" t="s">
        <v>53</v>
      </c>
      <c r="J51" t="s">
        <v>77</v>
      </c>
    </row>
    <row r="52" spans="1:13" ht="16.5" customHeight="1" x14ac:dyDescent="0.35">
      <c r="A52" s="18">
        <f>'Data Base Bule'!R53</f>
        <v>0</v>
      </c>
      <c r="B52" s="18" t="str">
        <f>CONCATENATE('Data Base Bule'!R53,"|",'Data Base Bule'!C53,"|",'Data Base Bule'!S53,"|",'Data Base Bule'!T53,"|",'Data Base Bule'!U53,"|","|","ID","|","|","ID","|","|")</f>
        <v>||||||ID||ID||</v>
      </c>
      <c r="C52" s="18" t="str">
        <f>CONCATENATE('Data Base Bule'!B53,"|",'Data Base Bule'!N53,"|",'Data Base Bule'!H53)</f>
        <v>||</v>
      </c>
      <c r="D52" s="17">
        <f>'Data Base Bule'!E53</f>
        <v>0</v>
      </c>
      <c r="E52" t="str">
        <f>CONCATENATE('Data Base Bule'!D53,"|",'Data Base Bule'!K53,"#",'Data Base Bule'!J53,"#",'Data Base Bule'!I53)</f>
        <v>|##</v>
      </c>
      <c r="F52" t="str">
        <f>CONCATENATE("A","|","|",'Data Base Bule'!L53)</f>
        <v>A||</v>
      </c>
      <c r="G52" t="s">
        <v>0</v>
      </c>
      <c r="H52" t="str">
        <f>CONCATENATE('Data Base Bule'!M53,"###")</f>
        <v>###</v>
      </c>
      <c r="I52" s="16" t="s">
        <v>53</v>
      </c>
      <c r="J52" t="s">
        <v>77</v>
      </c>
    </row>
    <row r="53" spans="1:13" ht="16.5" customHeight="1" x14ac:dyDescent="0.35">
      <c r="E53" t="str">
        <f>CONCATENATE('Data Base Bule'!D54,"|",'Data Base Bule'!K54,"#",'Data Base Bule'!J54,"#",'Data Base Bule'!I54)</f>
        <v>|##</v>
      </c>
      <c r="F53" t="str">
        <f>CONCATENATE("A","|","|",'Data Base Bule'!L54)</f>
        <v>A||</v>
      </c>
      <c r="G53" t="s">
        <v>0</v>
      </c>
      <c r="H53" t="str">
        <f>CONCATENATE('Data Base Bule'!M54,"###")</f>
        <v>###</v>
      </c>
      <c r="I53" s="16" t="s">
        <v>53</v>
      </c>
      <c r="J53" t="s">
        <v>77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C152-C401-405B-93FA-AF11D0959E07}">
  <dimension ref="A1:AJ53"/>
  <sheetViews>
    <sheetView tabSelected="1" zoomScale="87" zoomScaleNormal="87" workbookViewId="0">
      <pane ySplit="3" topLeftCell="A4" activePane="bottomLeft" state="frozen"/>
      <selection activeCell="Y1" sqref="Y1"/>
      <selection pane="bottomLeft" activeCell="C8" sqref="C8"/>
    </sheetView>
  </sheetViews>
  <sheetFormatPr defaultRowHeight="30" customHeight="1" x14ac:dyDescent="0.35"/>
  <cols>
    <col min="1" max="1" width="4.1796875" style="38" bestFit="1" customWidth="1"/>
    <col min="2" max="2" width="18.26953125" style="38" bestFit="1" customWidth="1"/>
    <col min="3" max="3" width="32.7265625" style="38" bestFit="1" customWidth="1"/>
    <col min="4" max="4" width="35" style="38" customWidth="1"/>
    <col min="5" max="5" width="37" style="38" customWidth="1"/>
    <col min="6" max="6" width="34.81640625" style="38" bestFit="1" customWidth="1"/>
    <col min="7" max="7" width="31" style="38" bestFit="1" customWidth="1"/>
    <col min="8" max="8" width="15.453125" style="38" bestFit="1" customWidth="1"/>
    <col min="9" max="9" width="21.54296875" style="38" bestFit="1" customWidth="1"/>
    <col min="10" max="10" width="17.81640625" style="38" bestFit="1" customWidth="1"/>
    <col min="11" max="11" width="72.26953125" style="38" bestFit="1" customWidth="1"/>
    <col min="12" max="12" width="15.7265625" style="38" customWidth="1"/>
    <col min="13" max="13" width="78.7265625" style="36" bestFit="1" customWidth="1"/>
    <col min="14" max="14" width="9.26953125" style="38" bestFit="1" customWidth="1"/>
    <col min="15" max="15" width="26.26953125" style="38" bestFit="1" customWidth="1"/>
    <col min="16" max="16" width="14.54296875" style="38" bestFit="1" customWidth="1"/>
    <col min="17" max="17" width="21.7265625" style="38" bestFit="1" customWidth="1"/>
    <col min="18" max="18" width="18.81640625" style="38" customWidth="1"/>
    <col min="19" max="19" width="57.54296875" style="38" bestFit="1" customWidth="1"/>
    <col min="20" max="20" width="10.453125" style="38" bestFit="1" customWidth="1"/>
    <col min="21" max="21" width="12.7265625" style="38" bestFit="1" customWidth="1"/>
    <col min="22" max="22" width="8.7265625" style="37"/>
    <col min="23" max="23" width="8.7265625" style="38"/>
    <col min="24" max="24" width="34.36328125" style="39" customWidth="1"/>
    <col min="25" max="25" width="57.54296875" style="103" bestFit="1" customWidth="1"/>
    <col min="26" max="26" width="8.81640625" style="38" bestFit="1" customWidth="1"/>
    <col min="27" max="27" width="11" style="38" bestFit="1" customWidth="1"/>
    <col min="28" max="28" width="34.26953125" style="38" customWidth="1"/>
    <col min="29" max="35" width="21.36328125" style="38" customWidth="1"/>
    <col min="36" max="36" width="17.6328125" style="38" customWidth="1"/>
    <col min="37" max="16384" width="8.7265625" style="38"/>
  </cols>
  <sheetData>
    <row r="1" spans="1:36" s="53" customFormat="1" ht="30" customHeight="1" x14ac:dyDescent="0.35">
      <c r="A1" s="24">
        <v>1</v>
      </c>
      <c r="B1" s="24">
        <v>2</v>
      </c>
      <c r="C1" s="24">
        <v>3</v>
      </c>
      <c r="D1" s="24">
        <v>4</v>
      </c>
      <c r="E1" s="24">
        <v>5</v>
      </c>
      <c r="F1" s="24">
        <v>6</v>
      </c>
      <c r="G1" s="24">
        <v>7</v>
      </c>
      <c r="H1" s="24">
        <v>8</v>
      </c>
      <c r="I1" s="24">
        <v>9</v>
      </c>
      <c r="J1" s="24">
        <v>10</v>
      </c>
      <c r="K1" s="24">
        <v>11</v>
      </c>
      <c r="L1" s="24">
        <v>12</v>
      </c>
      <c r="M1" s="27">
        <v>13</v>
      </c>
      <c r="N1" s="24">
        <v>14</v>
      </c>
      <c r="O1" s="24">
        <v>15</v>
      </c>
      <c r="P1" s="24">
        <v>16</v>
      </c>
      <c r="Q1" s="24">
        <v>17</v>
      </c>
      <c r="R1" s="24">
        <v>18</v>
      </c>
      <c r="S1" s="24">
        <v>19</v>
      </c>
      <c r="T1" s="24">
        <v>20</v>
      </c>
      <c r="U1" s="24">
        <v>21</v>
      </c>
      <c r="V1" s="52"/>
      <c r="X1" s="54"/>
      <c r="Y1" s="100"/>
    </row>
    <row r="2" spans="1:36" s="105" customFormat="1" ht="30" customHeight="1" x14ac:dyDescent="0.35">
      <c r="A2" s="22" t="s">
        <v>1</v>
      </c>
      <c r="B2" s="22" t="s">
        <v>2</v>
      </c>
      <c r="C2" s="22" t="s">
        <v>3</v>
      </c>
      <c r="D2" s="22" t="s">
        <v>4</v>
      </c>
      <c r="E2" s="55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  <c r="L2" s="56" t="s">
        <v>12</v>
      </c>
      <c r="M2" s="57" t="s">
        <v>13</v>
      </c>
      <c r="N2" s="56" t="s">
        <v>14</v>
      </c>
      <c r="O2" s="56" t="s">
        <v>15</v>
      </c>
      <c r="P2" s="56" t="s">
        <v>16</v>
      </c>
      <c r="Q2" s="56" t="s">
        <v>17</v>
      </c>
      <c r="R2" s="26" t="s">
        <v>54</v>
      </c>
      <c r="S2" s="26" t="s">
        <v>55</v>
      </c>
      <c r="T2" s="26" t="s">
        <v>56</v>
      </c>
      <c r="U2" s="26" t="s">
        <v>57</v>
      </c>
      <c r="X2" s="106" t="s">
        <v>60</v>
      </c>
      <c r="Y2" s="107" t="s">
        <v>61</v>
      </c>
      <c r="Z2" s="108" t="s">
        <v>62</v>
      </c>
      <c r="AA2" s="108" t="s">
        <v>63</v>
      </c>
      <c r="AB2" s="119"/>
      <c r="AC2" s="134" t="s">
        <v>64</v>
      </c>
      <c r="AD2" s="135"/>
      <c r="AE2" s="135"/>
      <c r="AF2" s="135"/>
      <c r="AG2" s="135"/>
      <c r="AH2" s="135"/>
      <c r="AI2" s="135"/>
      <c r="AJ2" s="136"/>
    </row>
    <row r="3" spans="1:36" s="58" customFormat="1" ht="30" customHeight="1" thickBot="1" x14ac:dyDescent="0.4">
      <c r="A3" s="22"/>
      <c r="B3" s="22"/>
      <c r="C3" s="22"/>
      <c r="D3" s="22"/>
      <c r="E3" s="55"/>
      <c r="F3" s="22"/>
      <c r="G3" s="22"/>
      <c r="H3" s="104"/>
      <c r="I3" s="22"/>
      <c r="J3" s="22"/>
      <c r="K3" s="22"/>
      <c r="L3" s="56"/>
      <c r="M3" s="57"/>
      <c r="N3" s="56"/>
      <c r="O3" s="56"/>
      <c r="P3" s="56"/>
      <c r="Q3" s="56"/>
      <c r="R3" s="26"/>
      <c r="S3" s="26"/>
      <c r="T3" s="26"/>
      <c r="U3" s="26"/>
      <c r="X3" s="59"/>
      <c r="Y3" s="101"/>
      <c r="Z3" s="60"/>
      <c r="AA3" s="60"/>
      <c r="AB3" s="109" t="s">
        <v>130</v>
      </c>
      <c r="AC3" s="109" t="s">
        <v>83</v>
      </c>
      <c r="AD3" s="110" t="s">
        <v>89</v>
      </c>
      <c r="AE3" s="110" t="s">
        <v>90</v>
      </c>
      <c r="AF3" s="110" t="s">
        <v>91</v>
      </c>
      <c r="AG3" s="110" t="s">
        <v>92</v>
      </c>
      <c r="AH3" s="110" t="s">
        <v>94</v>
      </c>
      <c r="AI3" s="110" t="s">
        <v>93</v>
      </c>
      <c r="AJ3" s="110" t="s">
        <v>113</v>
      </c>
    </row>
    <row r="4" spans="1:36" ht="30" customHeight="1" thickBot="1" x14ac:dyDescent="0.4">
      <c r="A4" s="40">
        <v>1</v>
      </c>
      <c r="B4" s="41">
        <v>260701</v>
      </c>
      <c r="C4" s="120"/>
      <c r="D4" s="120"/>
      <c r="E4" s="120"/>
      <c r="F4" s="121"/>
      <c r="G4" s="122"/>
      <c r="H4" s="123"/>
      <c r="I4" s="120"/>
      <c r="J4" s="120"/>
      <c r="K4" s="124"/>
      <c r="L4" s="125"/>
      <c r="M4" s="126"/>
      <c r="N4" s="87"/>
      <c r="O4" s="42"/>
      <c r="P4" s="42"/>
      <c r="Q4" s="42"/>
      <c r="R4" s="43"/>
      <c r="S4" s="118"/>
      <c r="T4" s="118"/>
      <c r="U4" s="118"/>
      <c r="V4" s="25"/>
      <c r="X4" s="127" t="s">
        <v>71</v>
      </c>
      <c r="Y4" s="111" t="s">
        <v>69</v>
      </c>
      <c r="Z4" s="112" t="s">
        <v>67</v>
      </c>
      <c r="AA4" s="112" t="s">
        <v>59</v>
      </c>
      <c r="AB4" s="127" t="s">
        <v>71</v>
      </c>
      <c r="AC4" s="113" t="s">
        <v>99</v>
      </c>
      <c r="AD4" s="114" t="s">
        <v>100</v>
      </c>
      <c r="AE4" s="114" t="s">
        <v>101</v>
      </c>
      <c r="AF4" s="114" t="s">
        <v>102</v>
      </c>
      <c r="AG4" s="115"/>
      <c r="AH4" s="115"/>
      <c r="AI4" s="115"/>
      <c r="AJ4" s="115"/>
    </row>
    <row r="5" spans="1:36" s="70" customFormat="1" ht="30" customHeight="1" x14ac:dyDescent="0.35">
      <c r="A5" s="40">
        <v>2</v>
      </c>
      <c r="B5" s="41">
        <v>260701</v>
      </c>
      <c r="C5" s="96"/>
      <c r="D5" s="96"/>
      <c r="E5" s="96"/>
      <c r="F5" s="99"/>
      <c r="G5" s="96"/>
      <c r="H5" s="97"/>
      <c r="I5" s="96"/>
      <c r="J5" s="96"/>
      <c r="K5" s="96"/>
      <c r="L5" s="96"/>
      <c r="M5" s="98"/>
      <c r="N5" s="96"/>
      <c r="O5" s="69"/>
      <c r="P5" s="69"/>
      <c r="Q5" s="42"/>
      <c r="R5" s="43"/>
      <c r="S5" s="118"/>
      <c r="T5" s="118"/>
      <c r="U5" s="118"/>
      <c r="V5" s="25"/>
      <c r="X5" s="128" t="s">
        <v>129</v>
      </c>
      <c r="Y5" s="102" t="s">
        <v>72</v>
      </c>
      <c r="Z5" s="71" t="s">
        <v>87</v>
      </c>
      <c r="AA5" s="112" t="s">
        <v>59</v>
      </c>
      <c r="AB5" s="128" t="s">
        <v>129</v>
      </c>
      <c r="AC5" s="113" t="s">
        <v>103</v>
      </c>
      <c r="AD5" s="116" t="s">
        <v>104</v>
      </c>
      <c r="AE5" s="116" t="s">
        <v>105</v>
      </c>
      <c r="AF5" s="116" t="s">
        <v>106</v>
      </c>
      <c r="AG5" s="117"/>
      <c r="AH5" s="117"/>
      <c r="AI5" s="117"/>
      <c r="AJ5" s="117"/>
    </row>
    <row r="6" spans="1:36" ht="30" customHeight="1" x14ac:dyDescent="0.35">
      <c r="A6" s="40">
        <v>3</v>
      </c>
      <c r="B6" s="41">
        <v>260701</v>
      </c>
      <c r="C6" s="96"/>
      <c r="D6" s="96"/>
      <c r="E6" s="96"/>
      <c r="F6" s="96"/>
      <c r="G6" s="96"/>
      <c r="H6" s="97"/>
      <c r="I6" s="96"/>
      <c r="J6" s="96"/>
      <c r="K6" s="96"/>
      <c r="L6" s="96"/>
      <c r="M6" s="98"/>
      <c r="N6" s="96"/>
      <c r="O6" s="45"/>
      <c r="P6" s="45"/>
      <c r="Q6" s="42"/>
      <c r="R6" s="43"/>
      <c r="S6" s="118"/>
      <c r="T6" s="118"/>
      <c r="U6" s="118"/>
      <c r="V6" s="25"/>
      <c r="X6" s="129" t="s">
        <v>66</v>
      </c>
      <c r="Y6" s="111" t="s">
        <v>76</v>
      </c>
      <c r="Z6" s="112" t="s">
        <v>58</v>
      </c>
      <c r="AA6" s="112" t="s">
        <v>59</v>
      </c>
      <c r="AB6" s="129" t="s">
        <v>66</v>
      </c>
      <c r="AC6" s="113" t="s">
        <v>107</v>
      </c>
      <c r="AD6" s="114" t="s">
        <v>108</v>
      </c>
      <c r="AE6" s="114" t="s">
        <v>109</v>
      </c>
      <c r="AF6" s="114" t="s">
        <v>110</v>
      </c>
      <c r="AG6" s="114" t="s">
        <v>111</v>
      </c>
      <c r="AH6" s="114" t="s">
        <v>112</v>
      </c>
      <c r="AI6" s="115"/>
      <c r="AJ6" s="114" t="s">
        <v>114</v>
      </c>
    </row>
    <row r="7" spans="1:36" ht="30" customHeight="1" x14ac:dyDescent="0.35">
      <c r="A7" s="40">
        <v>4</v>
      </c>
      <c r="B7" s="41">
        <v>260701</v>
      </c>
      <c r="C7" s="96"/>
      <c r="D7" s="96"/>
      <c r="E7" s="96"/>
      <c r="F7" s="96"/>
      <c r="G7" s="96"/>
      <c r="H7" s="97"/>
      <c r="I7" s="96"/>
      <c r="J7" s="96"/>
      <c r="K7" s="96"/>
      <c r="L7" s="96"/>
      <c r="M7" s="98"/>
      <c r="N7" s="96"/>
      <c r="O7" s="42"/>
      <c r="P7" s="42"/>
      <c r="Q7" s="42"/>
      <c r="R7" s="43"/>
      <c r="S7" s="118"/>
      <c r="T7" s="118"/>
      <c r="U7" s="118"/>
      <c r="V7" s="25"/>
      <c r="X7" s="130" t="s">
        <v>128</v>
      </c>
      <c r="Y7" s="111" t="s">
        <v>88</v>
      </c>
      <c r="Z7" s="112" t="s">
        <v>65</v>
      </c>
      <c r="AA7" s="112" t="s">
        <v>59</v>
      </c>
      <c r="AB7" s="130" t="s">
        <v>128</v>
      </c>
      <c r="AC7" s="113" t="s">
        <v>115</v>
      </c>
      <c r="AD7" s="114" t="s">
        <v>116</v>
      </c>
      <c r="AE7" s="114" t="s">
        <v>117</v>
      </c>
      <c r="AF7" s="114" t="s">
        <v>118</v>
      </c>
      <c r="AG7" s="115"/>
      <c r="AH7" s="115"/>
      <c r="AI7" s="115"/>
      <c r="AJ7" s="115"/>
    </row>
    <row r="8" spans="1:36" ht="30" customHeight="1" x14ac:dyDescent="0.35">
      <c r="A8" s="40">
        <v>5</v>
      </c>
      <c r="B8" s="41">
        <v>260701</v>
      </c>
      <c r="C8" s="96"/>
      <c r="D8" s="96"/>
      <c r="E8" s="96"/>
      <c r="F8" s="96"/>
      <c r="G8" s="96"/>
      <c r="H8" s="97"/>
      <c r="I8" s="96"/>
      <c r="J8" s="96"/>
      <c r="K8" s="96"/>
      <c r="L8" s="96"/>
      <c r="M8" s="98"/>
      <c r="N8" s="96"/>
      <c r="O8" s="42"/>
      <c r="P8" s="42"/>
      <c r="Q8" s="42"/>
      <c r="R8" s="43"/>
      <c r="S8" s="118"/>
      <c r="T8" s="118"/>
      <c r="U8" s="118"/>
      <c r="V8" s="25"/>
      <c r="X8" s="131" t="s">
        <v>85</v>
      </c>
      <c r="Y8" s="111" t="s">
        <v>73</v>
      </c>
      <c r="Z8" s="112" t="s">
        <v>65</v>
      </c>
      <c r="AA8" s="112" t="s">
        <v>59</v>
      </c>
      <c r="AB8" s="131" t="s">
        <v>85</v>
      </c>
      <c r="AC8" s="114" t="s">
        <v>95</v>
      </c>
      <c r="AD8" s="114" t="s">
        <v>96</v>
      </c>
      <c r="AE8" s="114" t="s">
        <v>84</v>
      </c>
      <c r="AF8" s="114" t="s">
        <v>97</v>
      </c>
      <c r="AG8" s="115"/>
      <c r="AH8" s="115"/>
      <c r="AI8" s="115"/>
      <c r="AJ8" s="115"/>
    </row>
    <row r="9" spans="1:36" ht="30" customHeight="1" x14ac:dyDescent="0.35">
      <c r="A9" s="40">
        <v>6</v>
      </c>
      <c r="B9" s="41">
        <v>260701</v>
      </c>
      <c r="C9" s="96"/>
      <c r="D9" s="96"/>
      <c r="E9" s="96"/>
      <c r="F9" s="96"/>
      <c r="G9" s="96"/>
      <c r="H9" s="97"/>
      <c r="I9" s="96"/>
      <c r="J9" s="96"/>
      <c r="K9" s="96"/>
      <c r="L9" s="96"/>
      <c r="M9" s="98"/>
      <c r="N9" s="96"/>
      <c r="O9" s="42"/>
      <c r="P9" s="42"/>
      <c r="Q9" s="42"/>
      <c r="R9" s="43"/>
      <c r="S9" s="118"/>
      <c r="T9" s="118"/>
      <c r="U9" s="118"/>
      <c r="V9" s="25"/>
      <c r="X9" s="132" t="s">
        <v>86</v>
      </c>
      <c r="Y9" s="111" t="s">
        <v>73</v>
      </c>
      <c r="Z9" s="112" t="s">
        <v>65</v>
      </c>
      <c r="AA9" s="112" t="s">
        <v>59</v>
      </c>
      <c r="AB9" s="132" t="s">
        <v>86</v>
      </c>
      <c r="AC9" s="114" t="s">
        <v>119</v>
      </c>
      <c r="AD9" s="114" t="s">
        <v>120</v>
      </c>
      <c r="AE9" s="114" t="s">
        <v>121</v>
      </c>
      <c r="AF9" s="114" t="s">
        <v>122</v>
      </c>
      <c r="AG9" s="115"/>
      <c r="AH9" s="115"/>
      <c r="AI9" s="115"/>
      <c r="AJ9" s="115"/>
    </row>
    <row r="10" spans="1:36" ht="30" customHeight="1" x14ac:dyDescent="0.35">
      <c r="A10" s="40">
        <v>7</v>
      </c>
      <c r="B10" s="41"/>
      <c r="C10" s="65"/>
      <c r="D10" s="74"/>
      <c r="E10" s="75"/>
      <c r="F10" s="74"/>
      <c r="G10" s="74"/>
      <c r="H10" s="66"/>
      <c r="I10" s="76"/>
      <c r="J10" s="76"/>
      <c r="K10" s="74"/>
      <c r="L10" s="76"/>
      <c r="M10" s="73"/>
      <c r="N10" s="68"/>
      <c r="O10" s="46"/>
      <c r="P10" s="46"/>
      <c r="Q10" s="46"/>
      <c r="R10" s="43"/>
      <c r="S10" s="47"/>
      <c r="T10" s="48"/>
      <c r="U10" s="48"/>
      <c r="V10" s="49"/>
      <c r="X10" s="133" t="s">
        <v>74</v>
      </c>
      <c r="Y10" s="111" t="s">
        <v>75</v>
      </c>
      <c r="Z10" s="112" t="s">
        <v>65</v>
      </c>
      <c r="AA10" s="112" t="s">
        <v>59</v>
      </c>
      <c r="AB10" s="133" t="s">
        <v>74</v>
      </c>
      <c r="AC10" s="114" t="s">
        <v>98</v>
      </c>
      <c r="AD10" s="114" t="s">
        <v>123</v>
      </c>
      <c r="AE10" s="114" t="s">
        <v>124</v>
      </c>
      <c r="AF10" s="114" t="s">
        <v>125</v>
      </c>
      <c r="AG10" s="114" t="s">
        <v>126</v>
      </c>
      <c r="AH10" s="115"/>
      <c r="AI10" s="114" t="s">
        <v>127</v>
      </c>
      <c r="AJ10" s="115"/>
    </row>
    <row r="11" spans="1:36" ht="30" customHeight="1" x14ac:dyDescent="0.35">
      <c r="A11" s="40">
        <v>8</v>
      </c>
      <c r="B11" s="41"/>
      <c r="C11" s="77"/>
      <c r="D11" s="65"/>
      <c r="E11" s="65"/>
      <c r="F11" s="65"/>
      <c r="G11" s="65"/>
      <c r="H11" s="72"/>
      <c r="I11" s="65"/>
      <c r="J11" s="65"/>
      <c r="K11" s="65"/>
      <c r="L11" s="65"/>
      <c r="M11" s="67"/>
      <c r="N11" s="68"/>
      <c r="O11" s="46"/>
      <c r="P11" s="46"/>
      <c r="Q11" s="46"/>
      <c r="R11" s="43"/>
      <c r="S11" s="44"/>
      <c r="T11" s="44"/>
      <c r="U11" s="44"/>
      <c r="V11" s="49"/>
    </row>
    <row r="12" spans="1:36" ht="30" customHeight="1" x14ac:dyDescent="0.35">
      <c r="A12" s="40">
        <v>9</v>
      </c>
      <c r="B12" s="41"/>
      <c r="C12" s="77"/>
      <c r="D12" s="78"/>
      <c r="E12" s="78"/>
      <c r="F12" s="78"/>
      <c r="G12" s="78"/>
      <c r="H12" s="79"/>
      <c r="I12" s="78"/>
      <c r="J12" s="78"/>
      <c r="K12" s="78"/>
      <c r="L12" s="80"/>
      <c r="M12" s="78"/>
      <c r="N12" s="80"/>
      <c r="O12" s="50"/>
      <c r="P12" s="50"/>
      <c r="Q12" s="50"/>
      <c r="R12" s="43"/>
      <c r="S12" s="47"/>
      <c r="T12" s="48"/>
      <c r="U12" s="48"/>
      <c r="V12" s="40"/>
    </row>
    <row r="13" spans="1:36" ht="30" customHeight="1" thickBot="1" x14ac:dyDescent="0.4">
      <c r="A13" s="40">
        <v>10</v>
      </c>
      <c r="B13" s="41"/>
      <c r="C13" s="86"/>
      <c r="D13" s="88"/>
      <c r="E13" s="88"/>
      <c r="F13" s="86"/>
      <c r="G13" s="88"/>
      <c r="H13" s="89"/>
      <c r="I13" s="90"/>
      <c r="J13" s="91"/>
      <c r="K13" s="88"/>
      <c r="L13" s="88"/>
      <c r="M13" s="92"/>
      <c r="N13" s="87"/>
      <c r="O13" s="50"/>
      <c r="P13" s="50"/>
      <c r="Q13" s="50"/>
      <c r="R13" s="43"/>
      <c r="S13" s="44"/>
      <c r="T13" s="44"/>
      <c r="U13" s="44"/>
      <c r="V13" s="40"/>
    </row>
    <row r="14" spans="1:36" ht="30" customHeight="1" thickBot="1" x14ac:dyDescent="0.4">
      <c r="A14" s="40">
        <v>11</v>
      </c>
      <c r="B14" s="41"/>
      <c r="C14" s="93"/>
      <c r="D14" s="93"/>
      <c r="E14" s="94"/>
      <c r="F14" s="93"/>
      <c r="G14" s="93"/>
      <c r="H14" s="95"/>
      <c r="I14" s="94"/>
      <c r="J14" s="94"/>
      <c r="K14" s="93"/>
      <c r="L14" s="94"/>
      <c r="M14" s="93"/>
      <c r="N14" s="94"/>
      <c r="O14" s="50"/>
      <c r="P14" s="50"/>
      <c r="Q14" s="50"/>
      <c r="R14" s="43"/>
      <c r="S14" s="44"/>
      <c r="T14" s="44"/>
      <c r="U14" s="44"/>
      <c r="V14" s="40"/>
    </row>
    <row r="15" spans="1:36" ht="30" customHeight="1" thickBot="1" x14ac:dyDescent="0.4">
      <c r="A15" s="40">
        <v>12</v>
      </c>
      <c r="B15" s="41"/>
      <c r="C15" s="93"/>
      <c r="D15" s="93"/>
      <c r="E15" s="94"/>
      <c r="F15" s="93"/>
      <c r="G15" s="93"/>
      <c r="H15" s="95"/>
      <c r="I15" s="94"/>
      <c r="J15" s="94"/>
      <c r="K15" s="93"/>
      <c r="L15" s="94"/>
      <c r="M15" s="93"/>
      <c r="N15" s="94"/>
      <c r="O15" s="50"/>
      <c r="P15" s="50"/>
      <c r="Q15" s="50"/>
      <c r="R15" s="43"/>
      <c r="S15" s="44"/>
      <c r="T15" s="44"/>
      <c r="U15" s="44"/>
      <c r="V15" s="40"/>
    </row>
    <row r="16" spans="1:36" ht="30" customHeight="1" x14ac:dyDescent="0.35">
      <c r="A16" s="40">
        <v>13</v>
      </c>
      <c r="B16" s="41"/>
      <c r="C16" s="77"/>
      <c r="D16" s="77"/>
      <c r="E16" s="77"/>
      <c r="F16" s="77"/>
      <c r="G16" s="77"/>
      <c r="H16" s="79"/>
      <c r="I16" s="77"/>
      <c r="J16" s="77"/>
      <c r="K16" s="77"/>
      <c r="L16" s="77"/>
      <c r="M16" s="82"/>
      <c r="N16" s="80"/>
      <c r="O16" s="51"/>
      <c r="R16" s="43"/>
      <c r="S16" s="47"/>
      <c r="T16" s="48"/>
      <c r="U16" s="48"/>
      <c r="V16" s="40"/>
    </row>
    <row r="17" spans="1:22" ht="30" customHeight="1" x14ac:dyDescent="0.35">
      <c r="A17" s="40">
        <v>14</v>
      </c>
      <c r="B17" s="41"/>
      <c r="C17" s="77"/>
      <c r="D17" s="77"/>
      <c r="E17" s="77"/>
      <c r="F17" s="77"/>
      <c r="G17" s="77"/>
      <c r="H17" s="79"/>
      <c r="I17" s="81"/>
      <c r="J17" s="77"/>
      <c r="K17" s="77"/>
      <c r="L17" s="77"/>
      <c r="M17" s="82"/>
      <c r="N17" s="80"/>
      <c r="O17" s="42"/>
      <c r="P17" s="42"/>
      <c r="Q17" s="42"/>
      <c r="R17" s="43"/>
      <c r="S17" s="47"/>
      <c r="T17" s="48"/>
      <c r="U17" s="48"/>
      <c r="V17" s="40"/>
    </row>
    <row r="18" spans="1:22" ht="30" customHeight="1" x14ac:dyDescent="0.35">
      <c r="A18" s="40">
        <v>15</v>
      </c>
      <c r="B18" s="41"/>
      <c r="C18" s="77"/>
      <c r="D18" s="77"/>
      <c r="E18" s="77"/>
      <c r="F18" s="77"/>
      <c r="G18" s="77"/>
      <c r="H18" s="79"/>
      <c r="I18" s="77"/>
      <c r="J18" s="83"/>
      <c r="K18" s="77"/>
      <c r="L18" s="77"/>
      <c r="M18" s="78"/>
      <c r="N18" s="80"/>
      <c r="O18" s="42"/>
      <c r="P18" s="42"/>
      <c r="Q18" s="42"/>
      <c r="R18" s="43"/>
      <c r="S18" s="47"/>
      <c r="T18" s="48"/>
      <c r="U18" s="48"/>
      <c r="V18" s="40"/>
    </row>
    <row r="19" spans="1:22" ht="30" customHeight="1" x14ac:dyDescent="0.35">
      <c r="A19" s="40">
        <v>16</v>
      </c>
      <c r="B19" s="41"/>
      <c r="C19" s="77"/>
      <c r="D19" s="77"/>
      <c r="E19" s="77"/>
      <c r="F19" s="77"/>
      <c r="G19" s="77"/>
      <c r="H19" s="79"/>
      <c r="I19" s="77"/>
      <c r="J19" s="77"/>
      <c r="K19" s="77"/>
      <c r="L19" s="77"/>
      <c r="M19" s="78"/>
      <c r="N19" s="80"/>
      <c r="O19" s="42"/>
      <c r="P19" s="42"/>
      <c r="Q19" s="42"/>
      <c r="R19" s="43"/>
      <c r="S19" s="47"/>
      <c r="T19" s="48"/>
      <c r="U19" s="48"/>
      <c r="V19" s="40"/>
    </row>
    <row r="20" spans="1:22" ht="30" customHeight="1" x14ac:dyDescent="0.35">
      <c r="A20" s="40">
        <v>17</v>
      </c>
      <c r="B20" s="41"/>
      <c r="C20" s="77"/>
      <c r="D20" s="77"/>
      <c r="E20" s="77"/>
      <c r="F20" s="77"/>
      <c r="G20" s="77"/>
      <c r="H20" s="79"/>
      <c r="I20" s="77"/>
      <c r="J20" s="77"/>
      <c r="K20" s="77"/>
      <c r="L20" s="77"/>
      <c r="M20" s="78"/>
      <c r="N20" s="80"/>
      <c r="O20" s="42"/>
      <c r="P20" s="42"/>
      <c r="Q20" s="42"/>
      <c r="R20" s="43"/>
      <c r="S20" s="47"/>
      <c r="T20" s="48"/>
      <c r="U20" s="48"/>
      <c r="V20" s="40"/>
    </row>
    <row r="21" spans="1:22" ht="30" customHeight="1" x14ac:dyDescent="0.35">
      <c r="A21" s="40">
        <v>18</v>
      </c>
      <c r="B21" s="41"/>
      <c r="C21" s="77"/>
      <c r="D21" s="77"/>
      <c r="E21" s="77"/>
      <c r="F21" s="77"/>
      <c r="G21" s="77"/>
      <c r="H21" s="79"/>
      <c r="I21" s="77"/>
      <c r="J21" s="77"/>
      <c r="K21" s="77"/>
      <c r="L21" s="77"/>
      <c r="M21" s="78"/>
      <c r="N21" s="80"/>
      <c r="O21" s="42"/>
      <c r="P21" s="42"/>
      <c r="Q21" s="42"/>
      <c r="R21" s="43"/>
      <c r="S21" s="47"/>
      <c r="T21" s="48"/>
      <c r="U21" s="48"/>
      <c r="V21" s="40"/>
    </row>
    <row r="22" spans="1:22" ht="30" customHeight="1" x14ac:dyDescent="0.35">
      <c r="A22" s="40">
        <v>19</v>
      </c>
      <c r="B22" s="41"/>
      <c r="C22" s="77"/>
      <c r="D22" s="77"/>
      <c r="E22" s="77"/>
      <c r="F22" s="77"/>
      <c r="G22" s="77"/>
      <c r="H22" s="79"/>
      <c r="I22" s="81"/>
      <c r="J22" s="77"/>
      <c r="K22" s="77"/>
      <c r="L22" s="77"/>
      <c r="M22" s="78"/>
      <c r="N22" s="80"/>
      <c r="O22" s="42"/>
      <c r="P22" s="42"/>
      <c r="Q22" s="42"/>
      <c r="R22" s="43"/>
      <c r="S22" s="47"/>
      <c r="T22" s="48"/>
      <c r="U22" s="48"/>
      <c r="V22" s="40"/>
    </row>
    <row r="23" spans="1:22" ht="30" customHeight="1" x14ac:dyDescent="0.35">
      <c r="A23" s="40">
        <v>20</v>
      </c>
      <c r="B23" s="41"/>
      <c r="C23" s="77"/>
      <c r="D23" s="77"/>
      <c r="E23" s="77"/>
      <c r="F23" s="77"/>
      <c r="G23" s="78"/>
      <c r="H23" s="79"/>
      <c r="I23" s="77"/>
      <c r="J23" s="77"/>
      <c r="K23" s="77"/>
      <c r="L23" s="77"/>
      <c r="M23" s="78"/>
      <c r="N23" s="80"/>
      <c r="O23" s="42"/>
      <c r="P23" s="42"/>
      <c r="Q23" s="42"/>
      <c r="R23" s="43"/>
      <c r="S23" s="47"/>
      <c r="T23" s="48"/>
      <c r="U23" s="48"/>
      <c r="V23" s="40"/>
    </row>
    <row r="24" spans="1:22" ht="30" customHeight="1" x14ac:dyDescent="0.35">
      <c r="A24" s="40">
        <v>21</v>
      </c>
      <c r="B24" s="41"/>
      <c r="C24" s="77"/>
      <c r="D24" s="77"/>
      <c r="E24" s="77"/>
      <c r="F24" s="77"/>
      <c r="G24" s="78"/>
      <c r="H24" s="79"/>
      <c r="I24" s="77"/>
      <c r="J24" s="83"/>
      <c r="K24" s="77"/>
      <c r="L24" s="77"/>
      <c r="M24" s="82"/>
      <c r="N24" s="80"/>
      <c r="O24" s="42"/>
      <c r="P24" s="42"/>
      <c r="Q24" s="42"/>
      <c r="R24" s="43"/>
      <c r="S24" s="47"/>
      <c r="T24" s="48"/>
      <c r="U24" s="48"/>
      <c r="V24" s="40"/>
    </row>
    <row r="25" spans="1:22" ht="30" customHeight="1" x14ac:dyDescent="0.35">
      <c r="A25" s="40">
        <v>22</v>
      </c>
      <c r="B25" s="41"/>
      <c r="C25" s="77"/>
      <c r="D25" s="77"/>
      <c r="E25" s="77"/>
      <c r="F25" s="77"/>
      <c r="G25" s="77"/>
      <c r="H25" s="79"/>
      <c r="I25" s="77"/>
      <c r="J25" s="83"/>
      <c r="K25" s="83"/>
      <c r="L25" s="83"/>
      <c r="M25" s="82"/>
      <c r="N25" s="80"/>
      <c r="R25" s="43"/>
      <c r="S25" s="47"/>
      <c r="T25" s="48"/>
      <c r="U25" s="48"/>
      <c r="V25" s="40"/>
    </row>
    <row r="26" spans="1:22" ht="30" customHeight="1" x14ac:dyDescent="0.35">
      <c r="A26" s="40">
        <v>23</v>
      </c>
      <c r="B26" s="41"/>
      <c r="C26" s="77"/>
      <c r="D26" s="77"/>
      <c r="E26" s="77"/>
      <c r="F26" s="77"/>
      <c r="G26" s="77"/>
      <c r="H26" s="79"/>
      <c r="I26" s="83"/>
      <c r="J26" s="83"/>
      <c r="K26" s="83"/>
      <c r="L26" s="83"/>
      <c r="M26" s="82"/>
      <c r="N26" s="80"/>
      <c r="R26" s="43"/>
      <c r="S26" s="47"/>
      <c r="T26" s="48"/>
      <c r="U26" s="48"/>
      <c r="V26" s="40"/>
    </row>
    <row r="27" spans="1:22" ht="30" customHeight="1" x14ac:dyDescent="0.35">
      <c r="A27" s="40">
        <v>24</v>
      </c>
      <c r="B27" s="41"/>
      <c r="C27" s="77"/>
      <c r="D27" s="77"/>
      <c r="E27" s="77"/>
      <c r="F27" s="77"/>
      <c r="G27" s="77"/>
      <c r="H27" s="79"/>
      <c r="I27" s="83"/>
      <c r="J27" s="83"/>
      <c r="K27" s="83"/>
      <c r="L27" s="83"/>
      <c r="M27" s="82"/>
      <c r="N27" s="80"/>
      <c r="R27" s="43"/>
      <c r="S27" s="47"/>
      <c r="T27" s="48"/>
      <c r="U27" s="48"/>
      <c r="V27" s="40"/>
    </row>
    <row r="28" spans="1:22" ht="30" customHeight="1" x14ac:dyDescent="0.35">
      <c r="A28" s="40">
        <v>25</v>
      </c>
      <c r="B28" s="41"/>
      <c r="C28" s="77"/>
      <c r="D28" s="77"/>
      <c r="E28" s="77"/>
      <c r="F28" s="77"/>
      <c r="G28" s="77"/>
      <c r="H28" s="79"/>
      <c r="I28" s="81"/>
      <c r="J28" s="83"/>
      <c r="K28" s="83"/>
      <c r="L28" s="83"/>
      <c r="M28" s="82"/>
      <c r="N28" s="80"/>
      <c r="R28" s="43"/>
      <c r="S28" s="47"/>
      <c r="T28" s="48"/>
      <c r="U28" s="48"/>
      <c r="V28" s="40"/>
    </row>
    <row r="29" spans="1:22" ht="30" customHeight="1" x14ac:dyDescent="0.35">
      <c r="A29" s="40">
        <v>26</v>
      </c>
      <c r="B29" s="41"/>
      <c r="C29" s="77"/>
      <c r="D29" s="77"/>
      <c r="E29" s="77"/>
      <c r="F29" s="77"/>
      <c r="G29" s="77"/>
      <c r="H29" s="79"/>
      <c r="I29" s="83"/>
      <c r="J29" s="83"/>
      <c r="K29" s="83"/>
      <c r="L29" s="83"/>
      <c r="M29" s="82"/>
      <c r="N29" s="80"/>
      <c r="R29" s="43"/>
      <c r="S29" s="47"/>
      <c r="T29" s="48"/>
      <c r="U29" s="48"/>
      <c r="V29" s="40"/>
    </row>
    <row r="30" spans="1:22" ht="30" customHeight="1" x14ac:dyDescent="0.35">
      <c r="A30" s="40">
        <v>27</v>
      </c>
      <c r="B30" s="41"/>
      <c r="C30" s="77"/>
      <c r="D30" s="77"/>
      <c r="E30" s="77"/>
      <c r="F30" s="77"/>
      <c r="G30" s="77"/>
      <c r="H30" s="79"/>
      <c r="I30" s="77"/>
      <c r="J30" s="77"/>
      <c r="K30" s="83"/>
      <c r="L30" s="77"/>
      <c r="M30" s="82"/>
      <c r="N30" s="80"/>
      <c r="R30" s="43"/>
      <c r="S30" s="47"/>
      <c r="T30" s="48"/>
      <c r="U30" s="48"/>
      <c r="V30" s="40"/>
    </row>
    <row r="31" spans="1:22" ht="30" customHeight="1" x14ac:dyDescent="0.35">
      <c r="A31" s="40">
        <v>28</v>
      </c>
      <c r="B31" s="41"/>
      <c r="C31" s="77"/>
      <c r="D31" s="77"/>
      <c r="E31" s="77"/>
      <c r="F31" s="77"/>
      <c r="G31" s="77"/>
      <c r="H31" s="79"/>
      <c r="I31" s="77"/>
      <c r="J31" s="77"/>
      <c r="K31" s="83"/>
      <c r="L31" s="77"/>
      <c r="M31" s="82"/>
      <c r="N31" s="80"/>
      <c r="R31" s="43"/>
      <c r="S31" s="47"/>
      <c r="T31" s="48"/>
      <c r="U31" s="48"/>
      <c r="V31" s="40"/>
    </row>
    <row r="32" spans="1:22" ht="30" customHeight="1" x14ac:dyDescent="0.35">
      <c r="A32" s="40">
        <v>29</v>
      </c>
      <c r="B32" s="41"/>
      <c r="C32" s="77"/>
      <c r="D32" s="77"/>
      <c r="E32" s="77"/>
      <c r="F32" s="77"/>
      <c r="G32" s="77"/>
      <c r="H32" s="79"/>
      <c r="I32" s="81"/>
      <c r="J32" s="83"/>
      <c r="K32" s="83"/>
      <c r="L32" s="83"/>
      <c r="M32" s="82"/>
      <c r="N32" s="80"/>
      <c r="R32" s="43"/>
      <c r="S32" s="47"/>
      <c r="T32" s="48"/>
      <c r="U32" s="48"/>
      <c r="V32" s="40"/>
    </row>
    <row r="33" spans="1:22" ht="30" customHeight="1" x14ac:dyDescent="0.35">
      <c r="A33" s="40">
        <v>30</v>
      </c>
      <c r="B33" s="41"/>
      <c r="C33" s="77"/>
      <c r="D33" s="77"/>
      <c r="E33" s="77"/>
      <c r="F33" s="77"/>
      <c r="G33" s="77"/>
      <c r="H33" s="79"/>
      <c r="I33" s="77"/>
      <c r="J33" s="77"/>
      <c r="K33" s="77"/>
      <c r="L33" s="77"/>
      <c r="M33" s="82"/>
      <c r="N33" s="80"/>
      <c r="R33" s="43"/>
      <c r="S33" s="47"/>
      <c r="T33" s="48"/>
      <c r="U33" s="48"/>
      <c r="V33" s="40"/>
    </row>
    <row r="34" spans="1:22" ht="30" customHeight="1" x14ac:dyDescent="0.35">
      <c r="A34" s="40">
        <v>31</v>
      </c>
      <c r="B34" s="41"/>
      <c r="C34" s="77"/>
      <c r="D34" s="77"/>
      <c r="E34" s="77"/>
      <c r="F34" s="77"/>
      <c r="G34" s="77"/>
      <c r="H34" s="79"/>
      <c r="I34" s="77"/>
      <c r="J34" s="77"/>
      <c r="K34" s="77"/>
      <c r="L34" s="77"/>
      <c r="M34" s="82"/>
      <c r="N34" s="80"/>
      <c r="R34" s="43"/>
      <c r="S34" s="47"/>
      <c r="T34" s="48"/>
      <c r="U34" s="48"/>
      <c r="V34" s="40"/>
    </row>
    <row r="35" spans="1:22" ht="30" customHeight="1" x14ac:dyDescent="0.35">
      <c r="A35" s="40">
        <v>32</v>
      </c>
      <c r="B35" s="41"/>
      <c r="C35" s="77"/>
      <c r="D35" s="77"/>
      <c r="E35" s="77"/>
      <c r="F35" s="77"/>
      <c r="G35" s="77"/>
      <c r="H35" s="79"/>
      <c r="I35" s="77"/>
      <c r="J35" s="77"/>
      <c r="K35" s="77"/>
      <c r="L35" s="77"/>
      <c r="M35" s="82"/>
      <c r="N35" s="80"/>
      <c r="R35" s="43"/>
      <c r="S35" s="47"/>
      <c r="T35" s="48"/>
      <c r="U35" s="48"/>
      <c r="V35" s="40"/>
    </row>
    <row r="36" spans="1:22" ht="30" customHeight="1" x14ac:dyDescent="0.35">
      <c r="A36" s="40">
        <v>33</v>
      </c>
      <c r="B36" s="41"/>
      <c r="C36" s="77"/>
      <c r="D36" s="77"/>
      <c r="E36" s="77"/>
      <c r="F36" s="77"/>
      <c r="G36" s="77"/>
      <c r="H36" s="79"/>
      <c r="I36" s="77"/>
      <c r="J36" s="77"/>
      <c r="K36" s="77"/>
      <c r="L36" s="77"/>
      <c r="M36" s="82"/>
      <c r="N36" s="80"/>
      <c r="R36" s="43"/>
      <c r="S36" s="47"/>
      <c r="T36" s="48"/>
      <c r="U36" s="48"/>
      <c r="V36" s="40"/>
    </row>
    <row r="37" spans="1:22" ht="30" customHeight="1" x14ac:dyDescent="0.35">
      <c r="A37" s="40">
        <v>34</v>
      </c>
      <c r="B37" s="41"/>
      <c r="C37" s="77"/>
      <c r="D37" s="77"/>
      <c r="E37" s="77"/>
      <c r="F37" s="77"/>
      <c r="G37" s="77"/>
      <c r="H37" s="79"/>
      <c r="I37" s="77"/>
      <c r="J37" s="77"/>
      <c r="K37" s="77"/>
      <c r="L37" s="77"/>
      <c r="M37" s="82"/>
      <c r="N37" s="80"/>
      <c r="R37" s="43"/>
      <c r="S37" s="47"/>
      <c r="T37" s="48"/>
      <c r="U37" s="48"/>
      <c r="V37" s="40"/>
    </row>
    <row r="38" spans="1:22" ht="30" customHeight="1" x14ac:dyDescent="0.35">
      <c r="A38" s="40">
        <v>35</v>
      </c>
      <c r="B38" s="41"/>
      <c r="C38" s="77"/>
      <c r="D38" s="77"/>
      <c r="E38" s="77"/>
      <c r="F38" s="77"/>
      <c r="G38" s="77"/>
      <c r="H38" s="79"/>
      <c r="I38" s="77"/>
      <c r="J38" s="77"/>
      <c r="K38" s="77"/>
      <c r="L38" s="77"/>
      <c r="M38" s="82"/>
      <c r="N38" s="80"/>
      <c r="R38" s="43"/>
      <c r="S38" s="47"/>
      <c r="T38" s="48"/>
      <c r="U38" s="48"/>
      <c r="V38" s="40"/>
    </row>
    <row r="39" spans="1:22" ht="30" customHeight="1" x14ac:dyDescent="0.35">
      <c r="A39" s="40">
        <v>36</v>
      </c>
      <c r="B39" s="41"/>
      <c r="C39" s="77"/>
      <c r="D39" s="77"/>
      <c r="E39" s="77"/>
      <c r="F39" s="77"/>
      <c r="G39" s="77"/>
      <c r="H39" s="79"/>
      <c r="I39" s="77"/>
      <c r="J39" s="77"/>
      <c r="K39" s="77"/>
      <c r="L39" s="81"/>
      <c r="M39" s="82"/>
      <c r="N39" s="80"/>
      <c r="R39" s="43"/>
      <c r="S39" s="47"/>
      <c r="T39" s="48"/>
      <c r="U39" s="48"/>
      <c r="V39" s="40"/>
    </row>
    <row r="40" spans="1:22" ht="30" customHeight="1" x14ac:dyDescent="0.35">
      <c r="A40" s="40">
        <v>37</v>
      </c>
      <c r="B40" s="41"/>
      <c r="C40" s="77"/>
      <c r="D40" s="77"/>
      <c r="E40" s="77"/>
      <c r="F40" s="77"/>
      <c r="G40" s="77"/>
      <c r="H40" s="79"/>
      <c r="I40" s="77"/>
      <c r="J40" s="77"/>
      <c r="K40" s="77"/>
      <c r="L40" s="77"/>
      <c r="M40" s="82"/>
      <c r="N40" s="80"/>
      <c r="R40" s="43"/>
      <c r="S40" s="47"/>
      <c r="T40" s="48"/>
      <c r="U40" s="48"/>
      <c r="V40" s="40"/>
    </row>
    <row r="41" spans="1:22" ht="30" customHeight="1" x14ac:dyDescent="0.35">
      <c r="A41" s="40">
        <v>38</v>
      </c>
      <c r="B41" s="41"/>
      <c r="C41" s="77"/>
      <c r="D41" s="77"/>
      <c r="E41" s="77"/>
      <c r="F41" s="77"/>
      <c r="G41" s="77"/>
      <c r="H41" s="79"/>
      <c r="I41" s="77"/>
      <c r="J41" s="77"/>
      <c r="K41" s="77"/>
      <c r="L41" s="77"/>
      <c r="M41" s="82"/>
      <c r="N41" s="80"/>
      <c r="R41" s="43"/>
      <c r="S41" s="47"/>
      <c r="T41" s="48"/>
      <c r="U41" s="48"/>
      <c r="V41" s="40"/>
    </row>
    <row r="42" spans="1:22" ht="30" customHeight="1" x14ac:dyDescent="0.35">
      <c r="A42" s="40">
        <v>39</v>
      </c>
      <c r="B42" s="41"/>
      <c r="C42" s="77"/>
      <c r="D42" s="77"/>
      <c r="E42" s="77"/>
      <c r="F42" s="77"/>
      <c r="G42" s="77"/>
      <c r="H42" s="79"/>
      <c r="I42" s="77"/>
      <c r="J42" s="77"/>
      <c r="K42" s="77"/>
      <c r="L42" s="77"/>
      <c r="M42" s="82"/>
      <c r="N42" s="80"/>
      <c r="R42" s="43"/>
      <c r="S42" s="47"/>
      <c r="T42" s="48"/>
      <c r="U42" s="48"/>
      <c r="V42" s="40"/>
    </row>
    <row r="43" spans="1:22" ht="30" customHeight="1" x14ac:dyDescent="0.35">
      <c r="A43" s="40">
        <v>40</v>
      </c>
      <c r="B43" s="41"/>
      <c r="C43" s="77"/>
      <c r="D43" s="77"/>
      <c r="E43" s="77"/>
      <c r="F43" s="77"/>
      <c r="G43" s="77"/>
      <c r="H43" s="79"/>
      <c r="I43" s="77"/>
      <c r="J43" s="77"/>
      <c r="K43" s="77"/>
      <c r="L43" s="77"/>
      <c r="M43" s="82"/>
      <c r="N43" s="80"/>
      <c r="R43" s="43"/>
      <c r="S43" s="47"/>
      <c r="T43" s="48"/>
      <c r="U43" s="48"/>
      <c r="V43" s="40"/>
    </row>
    <row r="44" spans="1:22" ht="30" customHeight="1" x14ac:dyDescent="0.35">
      <c r="A44" s="40">
        <v>41</v>
      </c>
      <c r="B44" s="41"/>
      <c r="C44" s="77"/>
      <c r="D44" s="77"/>
      <c r="E44" s="77"/>
      <c r="F44" s="77"/>
      <c r="G44" s="77"/>
      <c r="H44" s="79"/>
      <c r="I44" s="77"/>
      <c r="J44" s="77"/>
      <c r="K44" s="77"/>
      <c r="L44" s="77"/>
      <c r="M44" s="78"/>
      <c r="N44" s="80"/>
      <c r="R44" s="43"/>
      <c r="S44" s="47"/>
      <c r="T44" s="48"/>
      <c r="U44" s="48"/>
      <c r="V44" s="40"/>
    </row>
    <row r="45" spans="1:22" ht="30" customHeight="1" x14ac:dyDescent="0.35">
      <c r="A45" s="40">
        <v>42</v>
      </c>
      <c r="B45" s="41"/>
      <c r="C45" s="77"/>
      <c r="D45" s="77"/>
      <c r="E45" s="77"/>
      <c r="F45" s="77"/>
      <c r="G45" s="77"/>
      <c r="H45" s="79"/>
      <c r="I45" s="77"/>
      <c r="J45" s="83"/>
      <c r="K45" s="84"/>
      <c r="L45" s="85"/>
      <c r="M45" s="78"/>
      <c r="N45" s="80"/>
      <c r="R45" s="43"/>
      <c r="S45" s="47"/>
      <c r="T45" s="48"/>
      <c r="U45" s="48"/>
      <c r="V45" s="40"/>
    </row>
    <row r="46" spans="1:22" ht="30" customHeight="1" x14ac:dyDescent="0.35">
      <c r="A46" s="40">
        <v>43</v>
      </c>
      <c r="B46" s="41"/>
      <c r="C46" s="77"/>
      <c r="D46" s="77"/>
      <c r="E46" s="77"/>
      <c r="F46" s="77"/>
      <c r="G46" s="77"/>
      <c r="H46" s="79"/>
      <c r="I46" s="77"/>
      <c r="J46" s="77"/>
      <c r="K46" s="77"/>
      <c r="L46" s="77"/>
      <c r="M46" s="78"/>
      <c r="N46" s="80"/>
      <c r="R46" s="43"/>
      <c r="S46" s="47"/>
      <c r="T46" s="48"/>
      <c r="U46" s="48"/>
      <c r="V46" s="40"/>
    </row>
    <row r="47" spans="1:22" ht="30" customHeight="1" x14ac:dyDescent="0.35">
      <c r="A47" s="40">
        <v>44</v>
      </c>
      <c r="B47" s="41"/>
      <c r="C47" s="77"/>
      <c r="D47" s="77"/>
      <c r="E47" s="77"/>
      <c r="F47" s="77"/>
      <c r="G47" s="77"/>
      <c r="H47" s="79"/>
      <c r="I47" s="77"/>
      <c r="J47" s="77"/>
      <c r="K47" s="77"/>
      <c r="L47" s="77"/>
      <c r="M47" s="78"/>
      <c r="N47" s="80"/>
      <c r="R47" s="43"/>
      <c r="S47" s="47"/>
      <c r="T47" s="48"/>
      <c r="U47" s="48"/>
      <c r="V47" s="40"/>
    </row>
    <row r="48" spans="1:22" ht="30" customHeight="1" thickBot="1" x14ac:dyDescent="0.4">
      <c r="A48" s="40">
        <v>45</v>
      </c>
    </row>
    <row r="49" spans="1:21" ht="30" customHeight="1" thickBot="1" x14ac:dyDescent="0.4">
      <c r="A49" s="40">
        <v>46</v>
      </c>
      <c r="B49" s="41"/>
      <c r="C49" s="63"/>
      <c r="D49" s="63"/>
      <c r="E49" s="63"/>
      <c r="F49" s="63"/>
      <c r="G49" s="63"/>
      <c r="H49" s="64"/>
      <c r="I49" s="63"/>
      <c r="J49" s="63"/>
      <c r="K49" s="63"/>
      <c r="L49" s="63"/>
      <c r="M49" s="63"/>
      <c r="N49" s="63"/>
      <c r="R49" s="62"/>
      <c r="S49" s="44"/>
      <c r="T49" s="44"/>
      <c r="U49" s="44"/>
    </row>
    <row r="50" spans="1:21" ht="30" customHeight="1" x14ac:dyDescent="0.35">
      <c r="A50" s="40">
        <v>47</v>
      </c>
    </row>
    <row r="51" spans="1:21" ht="30" customHeight="1" x14ac:dyDescent="0.35">
      <c r="A51" s="40">
        <v>48</v>
      </c>
    </row>
    <row r="52" spans="1:21" ht="30" customHeight="1" x14ac:dyDescent="0.35">
      <c r="A52" s="40">
        <v>49</v>
      </c>
    </row>
    <row r="53" spans="1:21" ht="30" customHeight="1" x14ac:dyDescent="0.35">
      <c r="A53" s="40">
        <v>50</v>
      </c>
    </row>
  </sheetData>
  <mergeCells count="1">
    <mergeCell ref="AC2:AJ2"/>
  </mergeCells>
  <phoneticPr fontId="16" type="noConversion"/>
  <dataValidations count="2">
    <dataValidation type="list" allowBlank="1" showInputMessage="1" showErrorMessage="1" sqref="P6:P7" xr:uid="{2FFAC019-61EA-4A61-AF0E-8856129F5818}">
      <formula1>#REF!</formula1>
    </dataValidation>
    <dataValidation type="list" allowBlank="1" showInputMessage="1" showErrorMessage="1" sqref="N12:N13 N16:N47 N7:N9" xr:uid="{846F3723-5E00-42B1-A977-84CF5536790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49BC-2824-4D2B-B7B5-B2138E028DE1}">
  <sheetPr>
    <pageSetUpPr fitToPage="1"/>
  </sheetPr>
  <dimension ref="A1:B43"/>
  <sheetViews>
    <sheetView view="pageBreakPreview" zoomScaleNormal="100" zoomScaleSheetLayoutView="100" workbookViewId="0">
      <selection activeCell="B4" sqref="B4:B5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78</v>
      </c>
      <c r="B1" s="139"/>
    </row>
    <row r="3" spans="1:2" ht="15.5" x14ac:dyDescent="0.35">
      <c r="A3" s="140" t="s">
        <v>79</v>
      </c>
      <c r="B3" s="140"/>
    </row>
    <row r="4" spans="1:2" ht="15" customHeight="1" x14ac:dyDescent="0.35">
      <c r="A4" s="1" t="s">
        <v>20</v>
      </c>
      <c r="B4" s="141" t="s">
        <v>82</v>
      </c>
    </row>
    <row r="5" spans="1:2" ht="15" customHeight="1" x14ac:dyDescent="0.35">
      <c r="A5" s="1"/>
      <c r="B5" s="141"/>
    </row>
    <row r="6" spans="1:2" ht="15" customHeight="1" x14ac:dyDescent="0.35">
      <c r="A6" s="2" t="s">
        <v>22</v>
      </c>
      <c r="B6" s="142">
        <f>VLOOKUP(1,'Data Base Bule'!$A$4:$U$20,8,0)</f>
        <v>0</v>
      </c>
    </row>
    <row r="7" spans="1:2" ht="15" customHeight="1" x14ac:dyDescent="0.35">
      <c r="A7" s="2"/>
      <c r="B7" s="142"/>
    </row>
    <row r="8" spans="1:2" ht="15" customHeight="1" x14ac:dyDescent="0.35">
      <c r="A8" s="3" t="s">
        <v>24</v>
      </c>
      <c r="B8" s="142">
        <f>VLOOKUP(1,'Data Base Bule'!$A$4:$U$22,14,0)</f>
        <v>0</v>
      </c>
    </row>
    <row r="9" spans="1:2" ht="15" customHeight="1" x14ac:dyDescent="0.35">
      <c r="A9" s="4"/>
      <c r="B9" s="142"/>
    </row>
    <row r="10" spans="1:2" ht="15" customHeight="1" x14ac:dyDescent="0.35">
      <c r="A10" s="143" t="s">
        <v>26</v>
      </c>
      <c r="B10" s="5">
        <f>VLOOKUP(1,'Data Base Bule'!$A$4:$U$20,3,0)</f>
        <v>0</v>
      </c>
    </row>
    <row r="11" spans="1:2" ht="15" customHeight="1" x14ac:dyDescent="0.35">
      <c r="A11" s="143"/>
      <c r="B11" s="5">
        <f>VLOOKUP(1,'Data Base Bule'!$A$4:$U$20,19,0)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VLOOKUP(1,'Data Base Bule'!$A$4:$U$22,4,0)</f>
        <v>0</v>
      </c>
    </row>
    <row r="14" spans="1:2" ht="15" customHeight="1" x14ac:dyDescent="0.35">
      <c r="A14" s="4"/>
      <c r="B14" s="142"/>
    </row>
    <row r="15" spans="1:2" ht="15" customHeight="1" x14ac:dyDescent="0.35">
      <c r="A15" s="3" t="s">
        <v>29</v>
      </c>
      <c r="B15" s="142">
        <f>VLOOKUP(1,'Data Base Bule'!$A$4:$U$22,9,0)</f>
        <v>0</v>
      </c>
    </row>
    <row r="16" spans="1:2" ht="15" customHeight="1" x14ac:dyDescent="0.35">
      <c r="A16" s="4"/>
      <c r="B16" s="142"/>
    </row>
    <row r="17" spans="1:2" ht="15" customHeight="1" x14ac:dyDescent="0.35">
      <c r="A17" s="2" t="s">
        <v>31</v>
      </c>
      <c r="B17" s="142">
        <f>VLOOKUP(1,'Data Base Bule'!$A$4:$U$22,11,0)</f>
        <v>0</v>
      </c>
    </row>
    <row r="18" spans="1:2" ht="17.25" customHeight="1" x14ac:dyDescent="0.35">
      <c r="A18" s="2"/>
      <c r="B18" s="142"/>
    </row>
    <row r="19" spans="1:2" ht="15" customHeight="1" x14ac:dyDescent="0.35">
      <c r="A19" s="3" t="s">
        <v>33</v>
      </c>
      <c r="B19" s="142">
        <f>VLOOKUP(1,'Data Base Bule'!$A$4:$U$22,5,0)</f>
        <v>0</v>
      </c>
    </row>
    <row r="20" spans="1:2" ht="15" customHeight="1" x14ac:dyDescent="0.35">
      <c r="A20" s="6"/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VLOOKUP(1,'Data Base Bule'!$A$4:$U$22,6,0)</f>
        <v>0</v>
      </c>
    </row>
    <row r="23" spans="1:2" ht="15" customHeight="1" x14ac:dyDescent="0.35">
      <c r="A23" s="4"/>
      <c r="B23" s="142"/>
    </row>
    <row r="24" spans="1:2" ht="15" customHeight="1" x14ac:dyDescent="0.35">
      <c r="A24" s="2" t="s">
        <v>37</v>
      </c>
      <c r="B24" s="5">
        <f>VLOOKUP(1,'Data Base Bule'!$A$4:$U$20,7,0)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VLOOKUP(1,'Data Base Bule'!$A$4:$U$22,12,0)</f>
        <v>0</v>
      </c>
    </row>
    <row r="28" spans="1:2" ht="15" customHeight="1" x14ac:dyDescent="0.35">
      <c r="A28" s="4"/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/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/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/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/>
      <c r="B38" s="148"/>
    </row>
    <row r="39" spans="1:2" ht="15" customHeight="1" x14ac:dyDescent="0.35">
      <c r="A39" s="8" t="s">
        <v>49</v>
      </c>
      <c r="B39" s="149">
        <f>VLOOKUP(1,'Data Base Bule'!$A$4:$U$22,13,0)</f>
        <v>0</v>
      </c>
    </row>
    <row r="40" spans="1:2" ht="15" customHeight="1" x14ac:dyDescent="0.35">
      <c r="A40" s="13"/>
      <c r="B40" s="150"/>
    </row>
    <row r="41" spans="1:2" ht="15" customHeight="1" x14ac:dyDescent="0.35">
      <c r="A41" s="9"/>
      <c r="B41" s="151"/>
    </row>
    <row r="42" spans="1:2" ht="15" customHeight="1" x14ac:dyDescent="0.35">
      <c r="A42" s="34" t="s">
        <v>81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B35:B36"/>
    <mergeCell ref="B37:B38"/>
    <mergeCell ref="B39:B41"/>
    <mergeCell ref="A43:B43"/>
    <mergeCell ref="B22:B23"/>
    <mergeCell ref="B27:B28"/>
    <mergeCell ref="A30:B30"/>
    <mergeCell ref="B31:B32"/>
    <mergeCell ref="B33:B34"/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</mergeCells>
  <pageMargins left="0.7" right="0.7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C83B-62CE-43B9-9C78-CEF0DDF27507}">
  <sheetPr>
    <pageSetUpPr fitToPage="1"/>
  </sheetPr>
  <dimension ref="A1:B43"/>
  <sheetViews>
    <sheetView view="pageBreakPreview" zoomScaleNormal="100" zoomScaleSheetLayoutView="100" workbookViewId="0">
      <selection activeCell="E11" sqref="E11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78</v>
      </c>
      <c r="B1" s="139"/>
    </row>
    <row r="3" spans="1:2" ht="15.5" customHeight="1" x14ac:dyDescent="0.35">
      <c r="A3" s="154" t="s">
        <v>79</v>
      </c>
      <c r="B3" s="155"/>
    </row>
    <row r="4" spans="1:2" ht="15" customHeight="1" x14ac:dyDescent="0.35">
      <c r="A4" s="1" t="s">
        <v>20</v>
      </c>
      <c r="B4" s="156" t="s">
        <v>80</v>
      </c>
    </row>
    <row r="5" spans="1:2" ht="15" customHeight="1" x14ac:dyDescent="0.35">
      <c r="A5" s="1"/>
      <c r="B5" s="156"/>
    </row>
    <row r="6" spans="1:2" ht="15" customHeight="1" x14ac:dyDescent="0.35">
      <c r="A6" s="2" t="s">
        <v>22</v>
      </c>
      <c r="B6" s="142">
        <f>VLOOKUP(2,'Data Base Bule'!$A$4:$U$120,8,0)</f>
        <v>0</v>
      </c>
    </row>
    <row r="7" spans="1:2" ht="15" customHeight="1" x14ac:dyDescent="0.35">
      <c r="A7" s="2"/>
      <c r="B7" s="142"/>
    </row>
    <row r="8" spans="1:2" ht="15" customHeight="1" x14ac:dyDescent="0.35">
      <c r="A8" s="3" t="s">
        <v>24</v>
      </c>
      <c r="B8" s="142">
        <f>VLOOKUP(2,'Data Base Bule'!$A$4:$U$122,14,0)</f>
        <v>0</v>
      </c>
    </row>
    <row r="9" spans="1:2" ht="15" customHeight="1" x14ac:dyDescent="0.35">
      <c r="A9" s="4"/>
      <c r="B9" s="142"/>
    </row>
    <row r="10" spans="1:2" ht="15" customHeight="1" x14ac:dyDescent="0.35">
      <c r="A10" s="143" t="s">
        <v>26</v>
      </c>
      <c r="B10" s="5">
        <f>VLOOKUP(2,'Data Base Bule'!$A$4:$U$120,3,0)</f>
        <v>0</v>
      </c>
    </row>
    <row r="11" spans="1:2" ht="15" customHeight="1" x14ac:dyDescent="0.35">
      <c r="A11" s="143"/>
      <c r="B11" s="5">
        <f>VLOOKUP(2,'Data Base Bule'!$A$4:$U$120,19,0)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VLOOKUP(2,'Data Base Bule'!$A$4:$U$122,4,0)</f>
        <v>0</v>
      </c>
    </row>
    <row r="14" spans="1:2" ht="15" customHeight="1" x14ac:dyDescent="0.35">
      <c r="A14" s="4"/>
      <c r="B14" s="142"/>
    </row>
    <row r="15" spans="1:2" ht="15" customHeight="1" x14ac:dyDescent="0.35">
      <c r="A15" s="3" t="s">
        <v>29</v>
      </c>
      <c r="B15" s="142">
        <f>VLOOKUP(2,'Data Base Bule'!$A$4:$U$122,9,0)</f>
        <v>0</v>
      </c>
    </row>
    <row r="16" spans="1:2" ht="15" customHeight="1" x14ac:dyDescent="0.35">
      <c r="A16" s="4"/>
      <c r="B16" s="142"/>
    </row>
    <row r="17" spans="1:2" ht="15" customHeight="1" x14ac:dyDescent="0.35">
      <c r="A17" s="2" t="s">
        <v>31</v>
      </c>
      <c r="B17" s="142">
        <f>VLOOKUP(2,'Data Base Bule'!$A$4:$U$122,11,0)</f>
        <v>0</v>
      </c>
    </row>
    <row r="18" spans="1:2" ht="17.25" customHeight="1" x14ac:dyDescent="0.35">
      <c r="A18" s="2"/>
      <c r="B18" s="142"/>
    </row>
    <row r="19" spans="1:2" ht="15" customHeight="1" x14ac:dyDescent="0.35">
      <c r="A19" s="3" t="s">
        <v>33</v>
      </c>
      <c r="B19" s="142">
        <f>VLOOKUP(2,'Data Base Bule'!$A$4:$U$122,5,0)</f>
        <v>0</v>
      </c>
    </row>
    <row r="20" spans="1:2" ht="15" customHeight="1" x14ac:dyDescent="0.35">
      <c r="A20" s="6"/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VLOOKUP(2,'Data Base Bule'!$A$4:$U$122,6,0)</f>
        <v>0</v>
      </c>
    </row>
    <row r="23" spans="1:2" ht="15" customHeight="1" x14ac:dyDescent="0.35">
      <c r="A23" s="4"/>
      <c r="B23" s="142"/>
    </row>
    <row r="24" spans="1:2" ht="15" customHeight="1" x14ac:dyDescent="0.35">
      <c r="A24" s="2" t="s">
        <v>37</v>
      </c>
      <c r="B24" s="5">
        <f>VLOOKUP(2,'Data Base Bule'!$A$4:$U$120,7,0)</f>
        <v>0</v>
      </c>
    </row>
    <row r="25" spans="1:2" ht="15" customHeight="1" x14ac:dyDescent="0.35">
      <c r="A25" s="2"/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VLOOKUP(2,'Data Base Bule'!$A$4:$U$122,12,0)</f>
        <v>0</v>
      </c>
    </row>
    <row r="28" spans="1:2" ht="15" customHeight="1" x14ac:dyDescent="0.35">
      <c r="A28" s="4"/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/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/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/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/>
      <c r="B38" s="148"/>
    </row>
    <row r="39" spans="1:2" ht="15" customHeight="1" x14ac:dyDescent="0.35">
      <c r="A39" s="8" t="s">
        <v>49</v>
      </c>
      <c r="B39" s="149">
        <f>VLOOKUP(2,'Data Base Bule'!$A$4:$U$122,13,0)</f>
        <v>0</v>
      </c>
    </row>
    <row r="40" spans="1:2" ht="15" customHeight="1" x14ac:dyDescent="0.35">
      <c r="A40" s="13"/>
      <c r="B40" s="150"/>
    </row>
    <row r="41" spans="1:2" ht="15" customHeight="1" x14ac:dyDescent="0.35">
      <c r="A41" s="9"/>
      <c r="B41" s="151"/>
    </row>
    <row r="42" spans="1:2" ht="15" customHeight="1" x14ac:dyDescent="0.35">
      <c r="A42" s="35" t="s">
        <v>81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F843-6E15-4D62-8870-37A706F02519}">
  <sheetPr>
    <pageSetUpPr fitToPage="1"/>
  </sheetPr>
  <dimension ref="A1:B43"/>
  <sheetViews>
    <sheetView view="pageBreakPreview" topLeftCell="A13" zoomScaleNormal="100" zoomScaleSheetLayoutView="100" workbookViewId="0">
      <selection activeCell="B39" sqref="B39:B41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VLOOKUP(3,'Data Base Bule'!$A$4:$U$217,2,0)</f>
        <v>260701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VLOOKUP(3,'Data Base Bule'!$A$4:$U$220,8,0)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VLOOKUP(3,'Data Base Bule'!$A$4:$U$222,14,0)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VLOOKUP(3,'Data Base Bule'!$A$4:$U$220,3,0)</f>
        <v>0</v>
      </c>
    </row>
    <row r="11" spans="1:2" ht="15" customHeight="1" x14ac:dyDescent="0.35">
      <c r="A11" s="143"/>
      <c r="B11" s="5">
        <f>VLOOKUP(3,'Data Base Bule'!$A$4:$U$220,19,0)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VLOOKUP(3,'Data Base Bule'!$A$4:$U$222,4,0)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VLOOKUP(3,'Data Base Bule'!$A$4:$U$222,9,0)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VLOOKUP(3,'Data Base Bule'!$A$4:$U$222,11,0)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VLOOKUP(3,'Data Base Bule'!$A$4:$U$222,5,0)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VLOOKUP(3,'Data Base Bule'!$A$4:$U$222,6,0)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VLOOKUP(3,'Data Base Bule'!$A$4:$U$220,7,0)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VLOOKUP(3,'Data Base Bule'!$A$4:$U$222,12,0)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9">
        <f>VLOOKUP(3,'Data Base Bule'!$A$4:$U$222,13,0)</f>
        <v>0</v>
      </c>
    </row>
    <row r="40" spans="1:2" ht="15" customHeight="1" x14ac:dyDescent="0.35">
      <c r="A40" s="13" t="s">
        <v>50</v>
      </c>
      <c r="B40" s="150"/>
    </row>
    <row r="41" spans="1:2" ht="15" customHeight="1" x14ac:dyDescent="0.35">
      <c r="A41" s="9" t="s">
        <v>51</v>
      </c>
      <c r="B41" s="151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6F2-F614-4767-8A71-C867FE61EA0F}">
  <sheetPr>
    <pageSetUpPr fitToPage="1"/>
  </sheetPr>
  <dimension ref="A1:B43"/>
  <sheetViews>
    <sheetView view="pageBreakPreview" zoomScaleNormal="100" zoomScaleSheetLayoutView="100" workbookViewId="0">
      <selection activeCell="D21" sqref="D21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VLOOKUP(4,'Data Base Bule'!$A$4:$U$317,2,0)</f>
        <v>260701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VLOOKUP(4,'Data Base Bule'!$A$4:$U$320,8,0)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VLOOKUP(4,'Data Base Bule'!$A$4:$U$322,14,0)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VLOOKUP(4,'Data Base Bule'!$A$4:$U$320,3,0)</f>
        <v>0</v>
      </c>
    </row>
    <row r="11" spans="1:2" ht="15" customHeight="1" x14ac:dyDescent="0.35">
      <c r="A11" s="143"/>
      <c r="B11" s="5">
        <f>VLOOKUP(4,'Data Base Bule'!$A$4:$U$320,19,0)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VLOOKUP(4,'Data Base Bule'!$A$4:$U$322,4,0)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VLOOKUP(4,'Data Base Bule'!$A$4:$U$322,9,0)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VLOOKUP(4,'Data Base Bule'!$A$4:$U$322,11,0)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VLOOKUP(4,'Data Base Bule'!$A$4:$U$322,5,0)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VLOOKUP(4,'Data Base Bule'!$A$4:$U$322,6,0)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VLOOKUP(4,'Data Base Bule'!$A$4:$U$320,7,0)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VLOOKUP(4,'Data Base Bule'!$A$4:$U$322,12,0)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9">
        <f>VLOOKUP(4,'Data Base Bule'!$A$4:$U$322,13,0)</f>
        <v>0</v>
      </c>
    </row>
    <row r="40" spans="1:2" ht="15" customHeight="1" x14ac:dyDescent="0.35">
      <c r="A40" s="13" t="s">
        <v>50</v>
      </c>
      <c r="B40" s="150"/>
    </row>
    <row r="41" spans="1:2" ht="15" customHeight="1" x14ac:dyDescent="0.35">
      <c r="A41" s="9" t="s">
        <v>51</v>
      </c>
      <c r="B41" s="151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D2AA-0DEA-4ED1-979B-DE026D3D0D68}">
  <sheetPr>
    <pageSetUpPr fitToPage="1"/>
  </sheetPr>
  <dimension ref="A1:B43"/>
  <sheetViews>
    <sheetView view="pageBreakPreview" topLeftCell="A16" zoomScaleNormal="100" zoomScaleSheetLayoutView="100" workbookViewId="0">
      <selection activeCell="B39" sqref="B39:B41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VLOOKUP(5,'Data Base Bule'!$A$6:$U$417,5,0)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VLOOKUP(5,'Data Base Bule'!$A$6:$U$422,8,0)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VLOOKUP(5,'Data Base Bule'!$A$6:$U$422,14,0)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VLOOKUP(5,'Data Base Bule'!$A$6:$U$422,3,0)</f>
        <v>0</v>
      </c>
    </row>
    <row r="11" spans="1:2" ht="15" customHeight="1" x14ac:dyDescent="0.35">
      <c r="A11" s="143"/>
      <c r="B11" s="5">
        <f>VLOOKUP(5,'Data Base Bule'!$A$6:$U$422,19,0)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VLOOKUP(5,'Data Base Bule'!$A$6:$U$422,4,0)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VLOOKUP(5,'Data Base Bule'!$A$6:$U$422,9,0)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VLOOKUP(5,'Data Base Bule'!$A$6:$U$422,11,0)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VLOOKUP(5,'Data Base Bule'!$A$6:$U$422,5,0)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VLOOKUP(5,'Data Base Bule'!$A$6:$U$422,6,0)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VLOOKUP(5,'Data Base Bule'!$A$6:$U$422,7,0)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VLOOKUP(5,'Data Base Bule'!$A$6:$U$422,12,0)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9">
        <f>VLOOKUP(5,'Data Base Bule'!$A$6:$U$422,13,0)</f>
        <v>0</v>
      </c>
    </row>
    <row r="40" spans="1:2" ht="15" customHeight="1" x14ac:dyDescent="0.35">
      <c r="A40" s="13" t="s">
        <v>50</v>
      </c>
      <c r="B40" s="150"/>
    </row>
    <row r="41" spans="1:2" ht="15" customHeight="1" x14ac:dyDescent="0.35">
      <c r="A41" s="9" t="s">
        <v>51</v>
      </c>
      <c r="B41" s="151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28D-72D7-4984-8350-8234529A3D00}">
  <sheetPr>
    <pageSetUpPr fitToPage="1"/>
  </sheetPr>
  <dimension ref="A1:B43"/>
  <sheetViews>
    <sheetView view="pageBreakPreview" topLeftCell="A25" zoomScaleNormal="100" zoomScaleSheetLayoutView="100" workbookViewId="0">
      <selection activeCell="B53" sqref="B53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VLOOKUP(6,'Data Base Bule'!$A$4:$U$117,2,0)</f>
        <v>260701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VLOOKUP(6,'Data Base Bule'!$A$4:$U$520,8,0)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VLOOKUP(6,'Data Base Bule'!$A$4:$U$522,14,0)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VLOOKUP(6,'Data Base Bule'!$A$4:$U$520,3,0)</f>
        <v>0</v>
      </c>
    </row>
    <row r="11" spans="1:2" ht="15" customHeight="1" x14ac:dyDescent="0.35">
      <c r="A11" s="143"/>
      <c r="B11" s="5">
        <f>VLOOKUP(6,'Data Base Bule'!$A$4:$U$520,19,0)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VLOOKUP(6,'Data Base Bule'!$A$4:$U$522,4,0)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VLOOKUP(6,'Data Base Bule'!$A$4:$U$522,9,0)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VLOOKUP(6,'Data Base Bule'!$A$4:$U$522,11,0)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VLOOKUP(6,'Data Base Bule'!$A$4:$U$522,5,0)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VLOOKUP(6,'Data Base Bule'!$A$4:$U$522,6,0)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VLOOKUP(6,'Data Base Bule'!$A$4:$U$520,7,0)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VLOOKUP(6,'Data Base Bule'!$A$4:$U$522,12,0)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9">
        <f>VLOOKUP(6,'Data Base Bule'!$A$4:$U$522,13,0)</f>
        <v>0</v>
      </c>
    </row>
    <row r="40" spans="1:2" ht="15" customHeight="1" x14ac:dyDescent="0.35">
      <c r="A40" s="13" t="s">
        <v>50</v>
      </c>
      <c r="B40" s="150"/>
    </row>
    <row r="41" spans="1:2" ht="15" customHeight="1" x14ac:dyDescent="0.35">
      <c r="A41" s="9" t="s">
        <v>51</v>
      </c>
      <c r="B41" s="151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2542-F7B4-413A-93DB-B9DE507244E9}">
  <sheetPr>
    <pageSetUpPr fitToPage="1"/>
  </sheetPr>
  <dimension ref="A1:B43"/>
  <sheetViews>
    <sheetView view="pageBreakPreview" zoomScaleNormal="100" zoomScaleSheetLayoutView="100" workbookViewId="0">
      <selection activeCell="C45" sqref="C45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VLOOKUP(7,'Data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VLOOKUP(7,'Data Base Bule'!$A$4:$U$620,8,0)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VLOOKUP(7,'Data Base Bule'!$A$4:$U$622,14,0)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VLOOKUP(7,'Data Base Bule'!$A$4:$U$620,3,0)</f>
        <v>0</v>
      </c>
    </row>
    <row r="11" spans="1:2" ht="15" customHeight="1" x14ac:dyDescent="0.35">
      <c r="A11" s="143"/>
      <c r="B11" s="5">
        <f>VLOOKUP(7,'Data Base Bule'!$A$4:$U$620,19,0)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VLOOKUP(7,'Data Base Bule'!$A$4:$U$622,4,0)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VLOOKUP(7,'Data Base Bule'!$A$4:$U$622,9,0)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VLOOKUP(7,'Data Base Bule'!$A$4:$U$622,11,0)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VLOOKUP(7,'Data Base Bule'!$A$4:$U$622,5,0)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VLOOKUP(7,'Data Base Bule'!$A$4:$U$622,6,0)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VLOOKUP(7,'Data Base Bule'!$A$4:$U$620,7,0)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VLOOKUP(7,'Data Base Bule'!$A$4:$U$622,12,0)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9">
        <f>VLOOKUP(7,'Data Base Bule'!$A$4:$U$622,13,0)</f>
        <v>0</v>
      </c>
    </row>
    <row r="40" spans="1:2" ht="15" customHeight="1" x14ac:dyDescent="0.35">
      <c r="A40" s="13" t="s">
        <v>50</v>
      </c>
      <c r="B40" s="150"/>
    </row>
    <row r="41" spans="1:2" ht="15" customHeight="1" x14ac:dyDescent="0.35">
      <c r="A41" s="9" t="s">
        <v>51</v>
      </c>
      <c r="B41" s="151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C6A6-9674-4044-B6A9-582209E6AB4D}">
  <sheetPr>
    <pageSetUpPr fitToPage="1"/>
  </sheetPr>
  <dimension ref="A1:B43"/>
  <sheetViews>
    <sheetView view="pageBreakPreview" topLeftCell="A16" zoomScaleNormal="100" zoomScaleSheetLayoutView="100" workbookViewId="0">
      <selection activeCell="E37" sqref="E37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VLOOKUP(8,'Data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VLOOKUP(8,'Data Base Bule'!$A$4:$U$720,8,0)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VLOOKUP(8,'Data Base Bule'!$A$4:$U$722,14,0)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VLOOKUP(8,'Data Base Bule'!$A$4:$U$720,3,0)</f>
        <v>0</v>
      </c>
    </row>
    <row r="11" spans="1:2" ht="15" customHeight="1" x14ac:dyDescent="0.35">
      <c r="A11" s="143"/>
      <c r="B11" s="5">
        <f>VLOOKUP(8,'Data Base Bule'!$A$4:$U$720,19,0)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VLOOKUP(8,'Data Base Bule'!$A$4:$U$722,4,0)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VLOOKUP(8,'Data Base Bule'!$A$4:$U$722,9,0)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VLOOKUP(8,'Data Base Bule'!$A$4:$U$722,11,0)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VLOOKUP(8,'Data Base Bule'!$A$4:$U$722,5,0)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VLOOKUP(8,'Data Base Bule'!$A$4:$U$722,6,0)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VLOOKUP(8,'Data Base Bule'!$A$4:$U$720,7,0)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VLOOKUP(8,'Data Base Bule'!$A$4:$U$722,12,0)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9">
        <f>VLOOKUP(8,'Data Base Bule'!$A$4:$U$722,13,0)</f>
        <v>0</v>
      </c>
    </row>
    <row r="40" spans="1:2" ht="15" customHeight="1" x14ac:dyDescent="0.35">
      <c r="A40" s="13" t="s">
        <v>50</v>
      </c>
      <c r="B40" s="150"/>
    </row>
    <row r="41" spans="1:2" ht="15" customHeight="1" x14ac:dyDescent="0.35">
      <c r="A41" s="9" t="s">
        <v>51</v>
      </c>
      <c r="B41" s="151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A43:B43"/>
    <mergeCell ref="B39:B41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CB76-801F-471F-A3B7-2F077C94456F}">
  <sheetPr>
    <pageSetUpPr fitToPage="1"/>
  </sheetPr>
  <dimension ref="A1:B43"/>
  <sheetViews>
    <sheetView view="pageBreakPreview" topLeftCell="A13" zoomScaleNormal="100" zoomScaleSheetLayoutView="100" workbookViewId="0">
      <selection activeCell="D24" sqref="D24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VLOOKUP(9,'Data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VLOOKUP(9,'Data Base Bule'!$A$4:$U$820,8,0)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VLOOKUP(9,'Data Base Bule'!$A$4:$U$822,14,0)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VLOOKUP(9,'Data Base Bule'!$A$4:$U$820,3,0)</f>
        <v>0</v>
      </c>
    </row>
    <row r="11" spans="1:2" ht="15" customHeight="1" x14ac:dyDescent="0.35">
      <c r="A11" s="143"/>
      <c r="B11" s="5">
        <f>VLOOKUP(9,'Data Base Bule'!$A$4:$U$820,19,0)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VLOOKUP(9,'Data Base Bule'!$A$4:$U$822,4,0)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VLOOKUP(9,'Data Base Bule'!$A$4:$U$822,9,0)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VLOOKUP(9,'Data Base Bule'!$A$4:$U$822,11,0)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VLOOKUP(9,'Data Base Bule'!$A$4:$U$822,5,0)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VLOOKUP(9,'Data Base Bule'!$A$4:$U$822,6,0)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VLOOKUP(9,'Data Base Bule'!$A$4:$U$820,7,0)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VLOOKUP(9,'Data Base Bule'!$A$4:$U$822,12,0)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VLOOKUP(9,'Data Base Bule'!$A$4:$U$822,13,0)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0384-D908-4BF7-8086-3FBAF91DD3C5}">
  <sheetPr>
    <pageSetUpPr fitToPage="1"/>
  </sheetPr>
  <dimension ref="A1:B43"/>
  <sheetViews>
    <sheetView view="pageBreakPreview" zoomScaleNormal="100" zoomScaleSheetLayoutView="100" workbookViewId="0">
      <selection activeCell="H23" sqref="H23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VLOOKUP(10,'Data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VLOOKUP(10,'Data Base Bule'!$A$4:$U$920,8,0)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VLOOKUP(10,'Data Base Bule'!$A$4:$U$922,14,0)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VLOOKUP(10,'Data Base Bule'!$A$4:$U$920,3,0)</f>
        <v>0</v>
      </c>
    </row>
    <row r="11" spans="1:2" ht="15" customHeight="1" x14ac:dyDescent="0.35">
      <c r="A11" s="143"/>
      <c r="B11" s="5">
        <f>VLOOKUP(10,'Data Base Bule'!$A$4:$U$920,19,0)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VLOOKUP(10,'Data Base Bule'!$A$4:$U$922,4,0)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VLOOKUP(10,'Data Base Bule'!$A$4:$U$922,9,0)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VLOOKUP(10,'Data Base Bule'!$A$4:$U$922,11,0)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VLOOKUP(10,'Data Base Bule'!$A$4:$U$922,5,0)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VLOOKUP(10,'Data Base Bule'!$A$4:$U$922,6,0)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VLOOKUP(10,'Data Base Bule'!$A$4:$U$920,7,0)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VLOOKUP(10,'Data Base Bule'!$A$4:$U$922,12,0)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VLOOKUP(10,'Data Base Bule'!$A$4:$U$922,13,0)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B0BE-14C9-44DD-8C09-9C276C2C9E28}">
  <sheetPr>
    <pageSetUpPr fitToPage="1"/>
  </sheetPr>
  <dimension ref="A1:B43"/>
  <sheetViews>
    <sheetView view="pageBreakPreview" zoomScaleNormal="100" zoomScaleSheetLayoutView="100" workbookViewId="0">
      <selection activeCell="G12" sqref="G12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VLOOKUP(11,'Data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VLOOKUP(11,'Data Base Bule'!$A$4:$U$1020,8,0)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VLOOKUP(11,'Data Base Bule'!$A$4:$U$1022,14,0)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VLOOKUP(11,'Data Base Bule'!$A$4:$U$1020,3,0)</f>
        <v>0</v>
      </c>
    </row>
    <row r="11" spans="1:2" ht="15" customHeight="1" x14ac:dyDescent="0.35">
      <c r="A11" s="143"/>
      <c r="B11" s="5">
        <f>VLOOKUP(11,'Data Base Bule'!$A$4:$U$1020,19,0)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VLOOKUP(11,'Data Base Bule'!$A$4:$U$1022,4,0)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VLOOKUP(11,'Data Base Bule'!$A$4:$U$1022,9,0)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VLOOKUP(11,'Data Base Bule'!$A$4:$U$1022,11,0)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VLOOKUP(11,'Data Base Bule'!$A$4:$U$1022,5,0)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VLOOKUP(11,'Data Base Bule'!$A$4:$U$1022,6,0)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VLOOKUP(11,'Data Base Bule'!$A$4:$U$1020,7,0)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VLOOKUP(11,'Data Base Bule'!$A$4:$U$1022,12,0)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VLOOKUP(11,'Data Base Bule'!$A$4:$U$1022,13,0)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9226-CE4E-407D-AB4A-945B3F69A332}">
  <sheetPr>
    <pageSetUpPr fitToPage="1"/>
  </sheetPr>
  <dimension ref="A1:B43"/>
  <sheetViews>
    <sheetView view="pageBreakPreview" zoomScaleNormal="100" zoomScaleSheetLayoutView="100" workbookViewId="0">
      <selection activeCell="B39" sqref="B39:B40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VLOOKUP(12,'Data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VLOOKUP(12,'Data Base Bule'!$A$4:$U$1120,8,0)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VLOOKUP(12,'Data Base Bule'!$A$4:$U$1122,14,0)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VLOOKUP(12,'Data Base Bule'!$A$4:$U$1120,3,0)</f>
        <v>0</v>
      </c>
    </row>
    <row r="11" spans="1:2" ht="15" customHeight="1" x14ac:dyDescent="0.35">
      <c r="A11" s="143"/>
      <c r="B11" s="5">
        <f>VLOOKUP(12,'Data Base Bule'!$A$4:$U$1120,19,0)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VLOOKUP(12,'Data Base Bule'!$A$4:$U$1122,4,0)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VLOOKUP(12,'Data Base Bule'!$A$4:$U$1122,9,0)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VLOOKUP(12,'Data Base Bule'!$A$4:$U$1122,11,0)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VLOOKUP(12,'Data Base Bule'!$A$4:$U$1122,5,0)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VLOOKUP(12,'Data Base Bule'!$A$4:$U$1122,6,0)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VLOOKUP(12,'Data Base Bule'!$A$4:$U$1120,7,0)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VLOOKUP(12,'Data Base Bule'!$A$4:$U$1122,12,0)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VLOOKUP(12,'Data Base Bule'!$A$4:$U$1122,13,0)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CF85-5693-4E1C-A34F-417E981A2ADB}">
  <sheetPr>
    <pageSetUpPr fitToPage="1"/>
  </sheetPr>
  <dimension ref="A1:B43"/>
  <sheetViews>
    <sheetView view="pageBreakPreview" zoomScaleNormal="100" zoomScaleSheetLayoutView="100" workbookViewId="0">
      <selection activeCell="B4" sqref="B4:B5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VLOOKUP(13,'Data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VLOOKUP(13,'Data Base Bule'!$A$4:$U$1220,8,0)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VLOOKUP(13,'Data Base Bule'!$A$4:$U$1222,14,0)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VLOOKUP(13,'Data Base Bule'!$A$4:$U$1220,3,0)</f>
        <v>0</v>
      </c>
    </row>
    <row r="11" spans="1:2" ht="15" customHeight="1" x14ac:dyDescent="0.35">
      <c r="A11" s="143"/>
      <c r="B11" s="5">
        <f>VLOOKUP(13,'Data Base Bule'!$A$4:$U$1220,19,0)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VLOOKUP(13,'Data Base Bule'!$A$4:$U$1222,4,0)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VLOOKUP(13,'Data Base Bule'!$A$4:$U$1222,9,0)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VLOOKUP(13,'Data Base Bule'!$A$4:$U$1222,11,0)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VLOOKUP(13,'Data Base Bule'!$A$4:$U$1222,5,0)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VLOOKUP(13,'Data Base Bule'!$A$4:$U$1222,6,0)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VLOOKUP(13,'Data Base Bule'!$A$4:$U$1220,7,0)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VLOOKUP(13,'Data Base Bule'!$A$4:$U$1222,12,0)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VLOOKUP(13,'Data Base Bule'!$A$4:$U$1222,13,0)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8DE1-976D-4B1A-9A8D-D61F91030D69}">
  <sheetPr>
    <pageSetUpPr fitToPage="1"/>
  </sheetPr>
  <dimension ref="A1:B43"/>
  <sheetViews>
    <sheetView view="pageBreakPreview" topLeftCell="A10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VLOOKUP(14,'Data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VLOOKUP(14,'Data Base Bule'!$A$4:$U$1320,8,0)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VLOOKUP(14,'Data Base Bule'!$A$4:$U$1322,14,0)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VLOOKUP(14,'Data Base Bule'!$A$4:$U$1320,3,0)</f>
        <v>0</v>
      </c>
    </row>
    <row r="11" spans="1:2" ht="15" customHeight="1" x14ac:dyDescent="0.35">
      <c r="A11" s="143"/>
      <c r="B11" s="5">
        <f>VLOOKUP(14,'Data Base Bule'!$A$4:$U$1320,19,0)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VLOOKUP(14,'Data Base Bule'!$A$4:$U$1322,4,0)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VLOOKUP(14,'Data Base Bule'!$A$4:$U$1322,9,0)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VLOOKUP(14,'Data Base Bule'!$A$4:$U$1322,11,0)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VLOOKUP(14,'Data Base Bule'!$A$4:$U$1322,5,0)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VLOOKUP(14,'Data Base Bule'!$A$4:$U$1322,6,0)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VLOOKUP(14,'Data Base Bule'!$A$4:$U$1320,7,0)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VLOOKUP(14,'Data Base Bule'!$A$4:$U$1322,12,0)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VLOOKUP(14,'Data Base Bule'!$A$4:$U$1322,13,0)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6539-997B-4DF5-87E5-3913E3537351}">
  <sheetPr>
    <pageSetUpPr fitToPage="1"/>
  </sheetPr>
  <dimension ref="A1:B43"/>
  <sheetViews>
    <sheetView view="pageBreakPreview" topLeftCell="A40" zoomScaleNormal="100" zoomScaleSheetLayoutView="100" workbookViewId="0">
      <selection activeCell="B39" sqref="B39:B40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VLOOKUP(15,'Data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VLOOKUP(15,'Data Base Bule'!$A$4:$U$1420,8,0)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VLOOKUP(15,'Data Base Bule'!$A$4:$U$1422,14,0)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VLOOKUP(15,'Data Base Bule'!$A$4:$U$1420,3,0)</f>
        <v>0</v>
      </c>
    </row>
    <row r="11" spans="1:2" ht="15" customHeight="1" x14ac:dyDescent="0.35">
      <c r="A11" s="143"/>
      <c r="B11" s="5">
        <f>VLOOKUP(15,'Data Base Bule'!$A$4:$U$1420,19,0)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VLOOKUP(15,'Data Base Bule'!$A$4:$U$1422,4,0)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VLOOKUP(15,'Data Base Bule'!$A$4:$U$1422,9,0)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VLOOKUP(15,'Data Base Bule'!$A$4:$U$1422,11,0)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VLOOKUP(15,'Data Base Bule'!$A$4:$U$1422,5,0)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VLOOKUP(15,'Data Base Bule'!$A$4:$U$1422,6,0)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VLOOKUP(15,'Data Base Bule'!$A$4:$U$1420,7,0)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VLOOKUP(15,'Data Base Bule'!$A$4:$U$1422,12,0)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VLOOKUP(15,'Data Base Bule'!$A$4:$U$1422,13,0)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B59C-B686-474A-901B-364520B6A833}">
  <sheetPr>
    <pageSetUpPr fitToPage="1"/>
  </sheetPr>
  <dimension ref="A1:B43"/>
  <sheetViews>
    <sheetView view="pageBreakPreview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VLOOKUP(16,'Data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VLOOKUP(16,'Data Base Bule'!$A$4:$U$1520,8,0)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VLOOKUP(16,'Data Base Bule'!$A$4:$U$1522,14,0)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VLOOKUP(16,'Data Base Bule'!$A$4:$U$1520,3,0)</f>
        <v>0</v>
      </c>
    </row>
    <row r="11" spans="1:2" ht="15" customHeight="1" x14ac:dyDescent="0.35">
      <c r="A11" s="143"/>
      <c r="B11" s="5">
        <f>VLOOKUP(16,'Data Base Bule'!$A$4:$U$1520,19,0)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VLOOKUP(16,'Data Base Bule'!$A$4:$U$1522,4,0)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VLOOKUP(16,'Data Base Bule'!$A$4:$U$1522,9,0)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VLOOKUP(16,'Data Base Bule'!$A$4:$U$1522,11,0)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VLOOKUP(16,'Data Base Bule'!$A$4:$U$1522,5,0)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VLOOKUP(16,'Data Base Bule'!$A$4:$U$1522,6,0)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VLOOKUP(16,'Data Base Bule'!$A$4:$U$1520,7,0)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VLOOKUP(16,'Data Base Bule'!$A$4:$U$1522,12,0)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VLOOKUP(16,'Data Base Bule'!$A$4:$U$1522,13,0)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D47A-A183-42DA-A6EA-D5B0F0AD93E4}">
  <sheetPr>
    <pageSetUpPr fitToPage="1"/>
  </sheetPr>
  <dimension ref="A1:B43"/>
  <sheetViews>
    <sheetView view="pageBreakPreview" zoomScaleNormal="100" zoomScaleSheetLayoutView="100" workbookViewId="0">
      <selection activeCell="B6" sqref="B6:B7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VLOOKUP(17,'Data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VLOOKUP(17,'Data Base Bule'!$A$4:$U$1620,8,0)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VLOOKUP(17,'Data Base Bule'!$A$4:$U$1622,14,0)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VLOOKUP(17,'Data Base Bule'!$A$4:$U$1620,3,0)</f>
        <v>0</v>
      </c>
    </row>
    <row r="11" spans="1:2" ht="15" customHeight="1" x14ac:dyDescent="0.35">
      <c r="A11" s="143"/>
      <c r="B11" s="5">
        <f>VLOOKUP(17,'Data Base Bule'!$A$4:$U$1620,19,0)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VLOOKUP(17,'Data Base Bule'!$A$4:$U$1622,4,0)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VLOOKUP(17,'Data Base Bule'!$A$4:$U$1622,9,0)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VLOOKUP(17,'Data Base Bule'!$A$4:$U$1622,11,0)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VLOOKUP(17,'Data Base Bule'!$A$4:$U$1622,5,0)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VLOOKUP(17,'Data Base Bule'!$A$4:$U$1622,6,0)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VLOOKUP(17,'Data Base Bule'!$A$4:$U$1620,7,0)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VLOOKUP(17,'Data Base Bule'!$A$4:$U$1622,12,0)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VLOOKUP(17,'Data Base Bule'!$A$4:$U$1622,13,0)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6B78-3C7D-4E68-8BC7-619441D00ECE}">
  <sheetPr>
    <pageSetUpPr fitToPage="1"/>
  </sheetPr>
  <dimension ref="A1:B43"/>
  <sheetViews>
    <sheetView view="pageBreakPreview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VLOOKUP(18,'Data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VLOOKUP(18,'Data Base Bule'!$A$4:$U$1720,8,0)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VLOOKUP(18,'Data Base Bule'!$A$4:$U$1722,14,0)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VLOOKUP(18,'Data Base Bule'!$A$4:$U$1720,3,0)</f>
        <v>0</v>
      </c>
    </row>
    <row r="11" spans="1:2" ht="15" customHeight="1" x14ac:dyDescent="0.35">
      <c r="A11" s="143"/>
      <c r="B11" s="5">
        <f>VLOOKUP(18,'Data Base Bule'!$A$4:$U$1720,19,0)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VLOOKUP(18,'Data Base Bule'!$A$4:$U$1722,4,0)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VLOOKUP(18,'Data Base Bule'!$A$4:$U$1722,9,0)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VLOOKUP(18,'Data Base Bule'!$A$4:$U$1722,11,0)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VLOOKUP(18,'Data Base Bule'!$A$4:$U$1722,5,0)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VLOOKUP(18,'Data Base Bule'!$A$4:$U$1722,6,0)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VLOOKUP(18,'Data Base Bule'!$A$4:$U$1720,7,0)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VLOOKUP(18,'Data Base Bule'!$A$4:$U$1722,12,0)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VLOOKUP(18,'Data Base Bule'!$A$4:$U$1722,13,0)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E4F9-3BBD-4432-9A04-184F91153EBF}">
  <sheetPr>
    <pageSetUpPr fitToPage="1"/>
  </sheetPr>
  <dimension ref="A1:B43"/>
  <sheetViews>
    <sheetView view="pageBreakPreview" zoomScaleNormal="100" zoomScaleSheetLayoutView="100" workbookViewId="0">
      <selection activeCell="C22" sqref="C22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VLOOKUP(19,'Data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VLOOKUP(19,'Data Base Bule'!$A$4:$U$1820,8,0)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VLOOKUP(19,'Data Base Bule'!$A$4:$U$1822,14,0)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VLOOKUP(19,'Data Base Bule'!$A$4:$U$1820,3,0)</f>
        <v>0</v>
      </c>
    </row>
    <row r="11" spans="1:2" ht="15" customHeight="1" x14ac:dyDescent="0.35">
      <c r="A11" s="143"/>
      <c r="B11" s="5">
        <f>VLOOKUP(19,'Data Base Bule'!$A$4:$U$1820,19,0)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VLOOKUP(19,'Data Base Bule'!$A$4:$U$1822,4,0)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VLOOKUP(19,'Data Base Bule'!$A$4:$U$1822,9,0)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VLOOKUP(19,'Data Base Bule'!$A$4:$U$1822,11,0)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VLOOKUP(19,'Data Base Bule'!$A$4:$U$1822,5,0)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VLOOKUP(19,'Data Base Bule'!$A$4:$U$1822,6,0)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VLOOKUP(19,'Data Base Bule'!$A$4:$U$1820,7,0)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VLOOKUP(19,'Data Base Bule'!$A$4:$U$1822,12,0)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VLOOKUP(19,'Data Base Bule'!$A$4:$U$1822,13,0)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8BE8-E9F2-4081-8E74-22C5AB653650}">
  <sheetPr>
    <pageSetUpPr fitToPage="1"/>
  </sheetPr>
  <dimension ref="A1:B43"/>
  <sheetViews>
    <sheetView view="pageBreakPreview" zoomScaleNormal="100" zoomScaleSheetLayoutView="100" workbookViewId="0">
      <selection activeCell="B22" sqref="B22:B23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VLOOKUP(20,'Data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VLOOKUP(20,'Data Base Bule'!$A$4:$U$1920,8,0)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VLOOKUP(20,'Data Base Bule'!$A$4:$U$1922,14,0)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VLOOKUP(20,'Data Base Bule'!$A$4:$U$1920,3,0)</f>
        <v>0</v>
      </c>
    </row>
    <row r="11" spans="1:2" ht="15" customHeight="1" x14ac:dyDescent="0.35">
      <c r="A11" s="143"/>
      <c r="B11" s="5">
        <f>VLOOKUP(20,'Data Base Bule'!$A$4:$U$1920,19,0)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VLOOKUP(20,'Data Base Bule'!$A$4:$U$1922,4,0)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VLOOKUP(20,'Data Base Bule'!$A$4:$U$1922,9,0)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VLOOKUP(20,'Data Base Bule'!$A$4:$U$1922,11,0)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VLOOKUP(20,'Data Base Bule'!$A$4:$U$1922,5,0)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VLOOKUP(20,'Data Base Bule'!$A$4:$U$1922,6,0)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VLOOKUP(20,'Data Base Bule'!$A$4:$U$1920,7,0)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VLOOKUP(20,'Data Base Bule'!$A$4:$U$1922,12,0)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VLOOKUP(20,'Data Base Bule'!$A$4:$U$1922,13,0)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990E-A5CC-4FFE-8C6D-0B8E00CC55A8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VLOOKUP(21,'Data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VLOOKUP(21,'Data Base Bule'!$A$4:$U$2020,8,0)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VLOOKUP(21,'Data Base Bule'!$A$4:$U$2022,14,0)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VLOOKUP(21,'Data Base Bule'!$A$4:$U$2020,3,0)</f>
        <v>0</v>
      </c>
    </row>
    <row r="11" spans="1:2" ht="15" customHeight="1" x14ac:dyDescent="0.35">
      <c r="A11" s="143"/>
      <c r="B11" s="5">
        <f>VLOOKUP(21,'Data Base Bule'!$A$4:$U$2020,19,0)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VLOOKUP(21,'Data Base Bule'!$A$4:$U$2022,4,0)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VLOOKUP(21,'Data Base Bule'!$A$4:$U$2022,9,0)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VLOOKUP(21,'Data Base Bule'!$A$4:$U$2022,11,0)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VLOOKUP(21,'Data Base Bule'!$A$4:$U$2022,5,0)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VLOOKUP(21,'Data Base Bule'!$A$4:$U$2022,6,0)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VLOOKUP(21,'Data Base Bule'!$A$4:$U$2020,7,0)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VLOOKUP(21,'Data Base Bule'!$A$4:$U$2022,12,0)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VLOOKUP(21,'Data Base Bule'!$A$4:$U$2022,13,0)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1151-84B2-4C5E-997F-365DC2724DE8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VLOOKUP(22,'Data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VLOOKUP(22,'Data Base Bule'!$A$4:$U$2120,8,0)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VLOOKUP(22,'Data Base Bule'!$A$4:$U$2122,14,0)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VLOOKUP(22,'Data Base Bule'!$A$4:$U$2120,3,0)</f>
        <v>0</v>
      </c>
    </row>
    <row r="11" spans="1:2" ht="15" customHeight="1" x14ac:dyDescent="0.35">
      <c r="A11" s="143"/>
      <c r="B11" s="5">
        <f>VLOOKUP(22,'Data Base Bule'!$A$4:$U$2120,19,0)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VLOOKUP(22,'Data Base Bule'!$A$4:$U$2122,4,0)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VLOOKUP(22,'Data Base Bule'!$A$4:$U$2122,9,0)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VLOOKUP(22,'Data Base Bule'!$A$4:$U$2122,11,0)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VLOOKUP(22,'Data Base Bule'!$A$4:$U$2122,5,0)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VLOOKUP(22,'Data Base Bule'!$A$4:$U$2122,6,0)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VLOOKUP(22,'Data Base Bule'!$A$4:$U$2120,7,0)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VLOOKUP(22,'Data Base Bule'!$A$4:$U$2122,12,0)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VLOOKUP(22,'Data Base Bule'!$A$4:$U$2122,13,0)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63B0-7421-413D-B78E-D8A49930A55D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VLOOKUP(23,'Data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VLOOKUP(23,'Data Base Bule'!$A$4:$U$2220,8,0)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VLOOKUP(23,'Data Base Bule'!$A$4:$U$2222,14,0)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VLOOKUP(23,'Data Base Bule'!$A$4:$U$2220,3,0)</f>
        <v>0</v>
      </c>
    </row>
    <row r="11" spans="1:2" ht="15" customHeight="1" x14ac:dyDescent="0.35">
      <c r="A11" s="143"/>
      <c r="B11" s="5">
        <f>VLOOKUP(23,'Data Base Bule'!$A$4:$U$2220,19,0)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VLOOKUP(23,'Data Base Bule'!$A$4:$U$2222,4,0)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VLOOKUP(23,'Data Base Bule'!$A$4:$U$2222,9,0)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VLOOKUP(23,'Data Base Bule'!$A$4:$U$2222,11,0)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VLOOKUP(23,'Data Base Bule'!$A$4:$U$2222,5,0)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VLOOKUP(23,'Data Base Bule'!$A$4:$U$2222,6,0)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VLOOKUP(23,'Data Base Bule'!$A$4:$U$2220,7,0)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VLOOKUP(23,'Data Base Bule'!$A$4:$U$2222,12,0)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VLOOKUP(23,'Data Base Bule'!$A$4:$U$2222,13,0)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0F62-B533-4493-96EB-73FE5103F875}">
  <sheetPr>
    <pageSetUpPr fitToPage="1"/>
  </sheetPr>
  <dimension ref="A1:B43"/>
  <sheetViews>
    <sheetView view="pageBreakPreview" zoomScaleNormal="100" zoomScaleSheetLayoutView="100" workbookViewId="0">
      <selection activeCell="G32" sqref="G32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VLOOKUP(24,'Data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VLOOKUP(24,'Data Base Bule'!$A$4:$U$2320,8,0)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VLOOKUP(24,'Data Base Bule'!$A$4:$U$2322,14,0)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VLOOKUP(24,'Data Base Bule'!$A$4:$U$2320,3,0)</f>
        <v>0</v>
      </c>
    </row>
    <row r="11" spans="1:2" ht="15" customHeight="1" x14ac:dyDescent="0.35">
      <c r="A11" s="143"/>
      <c r="B11" s="5">
        <f>VLOOKUP(24,'Data Base Bule'!$A$4:$U$2320,19,0)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VLOOKUP(24,'Data Base Bule'!$A$4:$U$2322,4,0)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VLOOKUP(24,'Data Base Bule'!$A$4:$U$2322,9,0)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VLOOKUP(24,'Data Base Bule'!$A$4:$U$2322,11,0)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VLOOKUP(24,'Data Base Bule'!$A$4:$U$2322,5,0)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VLOOKUP(24,'Data Base Bule'!$A$4:$U$2322,6,0)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VLOOKUP(24,'Data Base Bule'!$A$4:$U$2320,7,0)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VLOOKUP(24,'Data Base Bule'!$A$4:$U$2322,12,0)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VLOOKUP(24,'Data Base Bule'!$A$4:$U$2322,13,0)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FA4C-ECC3-4FA5-851F-F1223F755D44}">
  <sheetPr>
    <pageSetUpPr fitToPage="1"/>
  </sheetPr>
  <dimension ref="A1:B43"/>
  <sheetViews>
    <sheetView view="pageBreakPreview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VLOOKUP(25,'Data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VLOOKUP(25,'Data Base Bule'!$A$4:$U$2420,8,0)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VLOOKUP(25,'Data Base Bule'!$A$4:$U$2422,14,0)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VLOOKUP(25,'Data Base Bule'!$A$4:$U$2420,3,0)</f>
        <v>0</v>
      </c>
    </row>
    <row r="11" spans="1:2" ht="15" customHeight="1" x14ac:dyDescent="0.35">
      <c r="A11" s="143"/>
      <c r="B11" s="5">
        <f>VLOOKUP(25,'Data Base Bule'!$A$4:$U$2420,19,0)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VLOOKUP(25,'Data Base Bule'!$A$4:$U$2422,4,0)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VLOOKUP(25,'Data Base Bule'!$A$4:$U$2422,9,0)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VLOOKUP(25,'Data Base Bule'!$A$4:$U$2422,11,0)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VLOOKUP(25,'Data Base Bule'!$A$4:$U$2422,5,0)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VLOOKUP(25,'Data Base Bule'!$A$4:$U$2422,6,0)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VLOOKUP(25,'Data Base Bule'!$A$4:$U$2420,7,0)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VLOOKUP(25,'Data Base Bule'!$A$4:$U$2422,12,0)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VLOOKUP(25,'Data Base Bule'!$A$4:$U$2422,13,0)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5DC5-2673-4CEF-8E8A-940911D42BC8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VLOOKUP(26,'Data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VLOOKUP(26,'Data Base Bule'!$A$4:$U$2520,8,0)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VLOOKUP(26,'Data Base Bule'!$A$4:$U$2522,14,0)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VLOOKUP(26,'Data Base Bule'!$A$4:$U$2520,3,0)</f>
        <v>0</v>
      </c>
    </row>
    <row r="11" spans="1:2" ht="15" customHeight="1" x14ac:dyDescent="0.35">
      <c r="A11" s="143"/>
      <c r="B11" s="5">
        <f>VLOOKUP(26,'Data Base Bule'!$A$4:$U$2520,19,0)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VLOOKUP(26,'Data Base Bule'!$A$4:$U$2522,4,0)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VLOOKUP(26,'Data Base Bule'!$A$4:$U$2522,9,0)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VLOOKUP(26,'Data Base Bule'!$A$4:$U$2522,11,0)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VLOOKUP(26,'Data Base Bule'!$A$4:$U$2522,5,0)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VLOOKUP(26,'Data Base Bule'!$A$4:$U$2522,6,0)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VLOOKUP(26,'Data Base Bule'!$A$4:$U$2520,7,0)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VLOOKUP(26,'Data Base Bule'!$A$4:$U$2522,12,0)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VLOOKUP(26,'Data Base Bule'!$A$4:$U$2522,13,0)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BFBB-9B38-4869-AD28-2DC7A527608F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VLOOKUP(27,'Data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VLOOKUP(27,'Data Base Bule'!$A$4:$U$2620,8,0)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VLOOKUP(27,'Data Base Bule'!$A$4:$U$2622,14,0)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VLOOKUP(27,'Data Base Bule'!$A$4:$U$2620,3,0)</f>
        <v>0</v>
      </c>
    </row>
    <row r="11" spans="1:2" ht="15" customHeight="1" x14ac:dyDescent="0.35">
      <c r="A11" s="143"/>
      <c r="B11" s="5">
        <f>VLOOKUP(27,'Data Base Bule'!$A$4:$U$2620,19,0)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VLOOKUP(27,'Data Base Bule'!$A$4:$U$2622,4,0)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VLOOKUP(27,'Data Base Bule'!$A$4:$U$2622,9,0)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VLOOKUP(27,'Data Base Bule'!$A$4:$U$2622,11,0)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VLOOKUP(27,'Data Base Bule'!$A$4:$U$2622,5,0)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VLOOKUP(27,'Data Base Bule'!$A$4:$U$2622,6,0)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VLOOKUP(27,'Data Base Bule'!$A$4:$U$2620,7,0)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VLOOKUP(27,'Data Base Bule'!$A$4:$U$2622,12,0)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VLOOKUP(27,'Data Base Bule'!$A$4:$U$2622,13,0)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3040-9495-4D84-B94F-E745D2FFC316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VLOOKUP(28,'Data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VLOOKUP(28,'Data Base Bule'!$A$4:$U$2720,8,0)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VLOOKUP(28,'Data Base Bule'!$A$4:$U$2722,14,0)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VLOOKUP(28,'Data Base Bule'!$A$4:$U$2720,3,0)</f>
        <v>0</v>
      </c>
    </row>
    <row r="11" spans="1:2" ht="15" customHeight="1" x14ac:dyDescent="0.35">
      <c r="A11" s="143"/>
      <c r="B11" s="5">
        <f>VLOOKUP(28,'Data Base Bule'!$A$4:$U$2720,19,0)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VLOOKUP(28,'Data Base Bule'!$A$4:$U$2722,4,0)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VLOOKUP(28,'Data Base Bule'!$A$4:$U$2722,9,0)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VLOOKUP(28,'Data Base Bule'!$A$4:$U$2722,11,0)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VLOOKUP(28,'Data Base Bule'!$A$4:$U$2722,5,0)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VLOOKUP(28,'Data Base Bule'!$A$4:$U$2722,6,0)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VLOOKUP(28,'Data Base Bule'!$A$4:$U$2720,7,0)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VLOOKUP(28,'Data Base Bule'!$A$4:$U$2722,12,0)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VLOOKUP(28,'Data Base Bule'!$A$4:$U$2722,13,0)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5A2B-AC58-4F81-AA7A-1E9601799AC8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VLOOKUP(29,'Data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VLOOKUP(29,'Data Base Bule'!$A$4:$U$2820,8,0)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VLOOKUP(29,'Data Base Bule'!$A$4:$U$2822,14,0)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VLOOKUP(29,'Data Base Bule'!$A$4:$U$2820,3,0)</f>
        <v>0</v>
      </c>
    </row>
    <row r="11" spans="1:2" ht="15" customHeight="1" x14ac:dyDescent="0.35">
      <c r="A11" s="143"/>
      <c r="B11" s="5">
        <f>VLOOKUP(29,'Data Base Bule'!$A$4:$U$2820,19,0)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VLOOKUP(29,'Data Base Bule'!$A$4:$U$2822,4,0)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VLOOKUP(29,'Data Base Bule'!$A$4:$U$2822,9,0)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VLOOKUP(29,'Data Base Bule'!$A$4:$U$2822,11,0)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VLOOKUP(29,'Data Base Bule'!$A$4:$U$2822,5,0)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VLOOKUP(29,'Data Base Bule'!$A$4:$U$2822,6,0)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VLOOKUP(29,'Data Base Bule'!$A$4:$U$2820,7,0)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VLOOKUP(29,'Data Base Bule'!$A$4:$U$2822,12,0)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VLOOKUP(29,'Data Base Bule'!$A$4:$U$2822,13,0)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F482-DF22-4A34-B83B-1857F3DC2A73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VLOOKUP(30,'Data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VLOOKUP(30,'Data Base Bule'!$A$4:$U$2920,8,0)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VLOOKUP(30,'Data Base Bule'!$A$4:$U$2922,14,0)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VLOOKUP(30,'Data Base Bule'!$A$4:$U$2920,3,0)</f>
        <v>0</v>
      </c>
    </row>
    <row r="11" spans="1:2" ht="15" customHeight="1" x14ac:dyDescent="0.35">
      <c r="A11" s="143"/>
      <c r="B11" s="5">
        <f>VLOOKUP(30,'Data Base Bule'!$A$4:$U$2920,19,0)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VLOOKUP(30,'Data Base Bule'!$A$4:$U$2922,4,0)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VLOOKUP(30,'Data Base Bule'!$A$4:$U$2922,9,0)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VLOOKUP(30,'Data Base Bule'!$A$4:$U$2922,11,0)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VLOOKUP(30,'Data Base Bule'!$A$4:$U$2922,5,0)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VLOOKUP(30,'Data Base Bule'!$A$4:$U$2922,6,0)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VLOOKUP(30,'Data Base Bule'!$A$4:$U$2920,7,0)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VLOOKUP(30,'Data Base Bule'!$A$4:$U$2922,12,0)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VLOOKUP(30,'Data Base Bule'!$A$4:$U$2922,13,0)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6B58-C1D9-4622-A18D-B1CFB3BB2BEC}">
  <sheetPr>
    <pageSetUpPr fitToPage="1"/>
  </sheetPr>
  <dimension ref="A1:B43"/>
  <sheetViews>
    <sheetView view="pageBreakPreview" topLeftCell="A22" zoomScaleNormal="100" zoomScaleSheetLayoutView="100" workbookViewId="0">
      <selection activeCell="G57" sqref="G57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VLOOKUP(31,'Data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VLOOKUP(31,'Data Base Bule'!$A$4:$U$3020,8,0)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VLOOKUP(31,'Data Base Bule'!$A$4:$U$3022,14,0)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VLOOKUP(31,'Data Base Bule'!$A$4:$U$3020,3,0)</f>
        <v>0</v>
      </c>
    </row>
    <row r="11" spans="1:2" ht="15" customHeight="1" x14ac:dyDescent="0.35">
      <c r="A11" s="143"/>
      <c r="B11" s="5">
        <f>VLOOKUP(31,'Data Base Bule'!$A$4:$U$3020,19,0)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VLOOKUP(31,'Data Base Bule'!$A$4:$U$3022,4,0)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VLOOKUP(31,'Data Base Bule'!$A$4:$U$3022,9,0)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VLOOKUP(31,'Data Base Bule'!$A$4:$U$3022,11,0)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VLOOKUP(31,'Data Base Bule'!$A$4:$U$3022,5,0)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VLOOKUP(31,'Data Base Bule'!$A$4:$U$3022,6,0)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VLOOKUP(31,'Data Base Bule'!$A$4:$U$3020,7,0)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VLOOKUP(31,'Data Base Bule'!$A$4:$U$3022,12,0)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VLOOKUP(31,'Data Base Bule'!$A$4:$U$3022,13,0)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1948-F826-4181-85CB-DF090971AADD}">
  <sheetPr>
    <pageSetUpPr fitToPage="1"/>
  </sheetPr>
  <dimension ref="A1:B43"/>
  <sheetViews>
    <sheetView view="pageBreakPreview" zoomScaleNormal="100" zoomScaleSheetLayoutView="100" workbookViewId="0">
      <selection activeCell="B60" sqref="B60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VLOOKUP(32,'Data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VLOOKUP(32,'Data Base Bule'!$A$4:$U$3120,8,0)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VLOOKUP(32,'Data Base Bule'!$A$4:$U$3122,14,0)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VLOOKUP(32,'Data Base Bule'!$A$4:$U$3120,3,0)</f>
        <v>0</v>
      </c>
    </row>
    <row r="11" spans="1:2" ht="15" customHeight="1" x14ac:dyDescent="0.35">
      <c r="A11" s="143"/>
      <c r="B11" s="5">
        <f>VLOOKUP(32,'Data Base Bule'!$A$4:$U$3120,19,0)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VLOOKUP(32,'Data Base Bule'!$A$4:$U$3122,4,0)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VLOOKUP(32,'Data Base Bule'!$A$4:$U$3122,9,0)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VLOOKUP(32,'Data Base Bule'!$A$4:$U$3122,11,0)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VLOOKUP(32,'Data Base Bule'!$A$4:$U$3122,5,0)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VLOOKUP(32,'Data Base Bule'!$A$4:$U$3122,6,0)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VLOOKUP(32,'Data Base Bule'!$A$4:$U$3120,7,0)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VLOOKUP(32,'Data Base Bule'!$A$4:$U$3122,12,0)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VLOOKUP(32,'Data Base Bule'!$A$4:$U$3122,13,0)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0565-4927-460D-B181-604D97C283E2}">
  <sheetPr>
    <pageSetUpPr fitToPage="1"/>
  </sheetPr>
  <dimension ref="A1:B43"/>
  <sheetViews>
    <sheetView view="pageBreakPreview" topLeftCell="A31" zoomScaleNormal="100" zoomScaleSheetLayoutView="100" workbookViewId="0">
      <selection activeCell="D58" sqref="D58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VLOOKUP(33,'Data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VLOOKUP(33,'Data Base Bule'!$A$4:$U$3220,8,0)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VLOOKUP(33,'Data Base Bule'!$A$4:$U$3222,14,0)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VLOOKUP(33,'Data Base Bule'!$A$4:$U$3220,3,0)</f>
        <v>0</v>
      </c>
    </row>
    <row r="11" spans="1:2" ht="15" customHeight="1" x14ac:dyDescent="0.35">
      <c r="A11" s="143"/>
      <c r="B11" s="5">
        <f>VLOOKUP(33,'Data Base Bule'!$A$4:$U$3220,19,0)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VLOOKUP(33,'Data Base Bule'!$A$4:$U$3222,4,0)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VLOOKUP(33,'Data Base Bule'!$A$4:$U$3222,9,0)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VLOOKUP(33,'Data Base Bule'!$A$4:$U$3222,11,0)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VLOOKUP(33,'Data Base Bule'!$A$4:$U$3222,5,0)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VLOOKUP(33,'Data Base Bule'!$A$4:$U$3222,6,0)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VLOOKUP(33,'Data Base Bule'!$A$4:$U$3220,7,0)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VLOOKUP(33,'Data Base Bule'!$A$4:$U$3222,12,0)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VLOOKUP(33,'Data Base Bule'!$A$4:$U$3222,13,0)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4EA5-3904-47CD-9CC6-64AB3DE5BE64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VLOOKUP(34,'Data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VLOOKUP(34,'Data Base Bule'!$A$4:$U$3320,8,0)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VLOOKUP(34,'Data Base Bule'!$A$4:$U$3322,14,0)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VLOOKUP(34,'Data Base Bule'!$A$4:$U$3320,3,0)</f>
        <v>0</v>
      </c>
    </row>
    <row r="11" spans="1:2" ht="15" customHeight="1" x14ac:dyDescent="0.35">
      <c r="A11" s="143"/>
      <c r="B11" s="5">
        <f>VLOOKUP(34,'Data Base Bule'!$A$4:$U$3320,19,0)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VLOOKUP(34,'Data Base Bule'!$A$4:$U$3322,4,0)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VLOOKUP(34,'Data Base Bule'!$A$4:$U$3322,9,0)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VLOOKUP(34,'Data Base Bule'!$A$4:$U$3322,11,0)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VLOOKUP(34,'Data Base Bule'!$A$4:$U$3322,5,0)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VLOOKUP(34,'Data Base Bule'!$A$4:$U$3322,6,0)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VLOOKUP(34,'Data Base Bule'!$A$4:$U$3320,7,0)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VLOOKUP(34,'Data Base Bule'!$A$4:$U$3322,12,0)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VLOOKUP(34,'Data Base Bule'!$A$4:$U$3322,13,0)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1CBF-D24F-43C0-93C5-1F4BDC4157FD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VLOOKUP(35,'Data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VLOOKUP(35,'Data Base Bule'!$A$4:$U$3420,8,0)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VLOOKUP(35,'Data Base Bule'!$A$4:$U$3422,14,0)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VLOOKUP(35,'Data Base Bule'!$A$4:$U$3420,3,0)</f>
        <v>0</v>
      </c>
    </row>
    <row r="11" spans="1:2" ht="15" customHeight="1" x14ac:dyDescent="0.35">
      <c r="A11" s="143"/>
      <c r="B11" s="5">
        <f>VLOOKUP(35,'Data Base Bule'!$A$4:$U$3420,19,0)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VLOOKUP(35,'Data Base Bule'!$A$4:$U$3422,4,0)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VLOOKUP(35,'Data Base Bule'!$A$4:$U$3422,9,0)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VLOOKUP(35,'Data Base Bule'!$A$4:$U$3422,11,0)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VLOOKUP(35,'Data Base Bule'!$A$4:$U$3422,5,0)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VLOOKUP(35,'Data Base Bule'!$A$4:$U$3422,6,0)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VLOOKUP(35,'Data Base Bule'!$A$4:$U$3420,7,0)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VLOOKUP(35,'Data Base Bule'!$A$4:$U$3422,12,0)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VLOOKUP(35,'Data Base Bule'!$A$4:$U$3422,13,0)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9D8D-570A-4578-8CB3-53C4990CC00B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VLOOKUP(36,'Data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VLOOKUP(36,'Data Base Bule'!$A$4:$U$3520,8,0)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VLOOKUP(36,'Data Base Bule'!$A$4:$U$3522,14,0)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VLOOKUP(36,'Data Base Bule'!$A$4:$U$3520,3,0)</f>
        <v>0</v>
      </c>
    </row>
    <row r="11" spans="1:2" ht="15" customHeight="1" x14ac:dyDescent="0.35">
      <c r="A11" s="143"/>
      <c r="B11" s="5">
        <f>VLOOKUP(36,'Data Base Bule'!$A$4:$U$3520,19,0)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VLOOKUP(36,'Data Base Bule'!$A$4:$U$3522,4,0)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VLOOKUP(36,'Data Base Bule'!$A$4:$U$3522,9,0)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VLOOKUP(36,'Data Base Bule'!$A$4:$U$3522,11,0)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VLOOKUP(36,'Data Base Bule'!$A$4:$U$3522,5,0)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VLOOKUP(36,'Data Base Bule'!$A$4:$U$3522,6,0)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VLOOKUP(36,'Data Base Bule'!$A$4:$U$3520,7,0)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VLOOKUP(36,'Data Base Bule'!$A$4:$U$3522,12,0)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VLOOKUP(36,'Data Base Bule'!$A$4:$U$3522,13,0)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758D-2CCB-4150-A23B-D4BE1D51D199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VLOOKUP(37,'Data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VLOOKUP(37,'Data Base Bule'!$A$4:$U$3620,8,0)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VLOOKUP(37,'Data Base Bule'!$A$4:$U$3622,14,0)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VLOOKUP(37,'Data Base Bule'!$A$4:$U$3620,3,0)</f>
        <v>0</v>
      </c>
    </row>
    <row r="11" spans="1:2" ht="15" customHeight="1" x14ac:dyDescent="0.35">
      <c r="A11" s="143"/>
      <c r="B11" s="5">
        <f>VLOOKUP(37,'Data Base Bule'!$A$4:$U$3620,19,0)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VLOOKUP(37,'Data Base Bule'!$A$4:$U$3622,4,0)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VLOOKUP(37,'Data Base Bule'!$A$4:$U$3622,9,0)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VLOOKUP(37,'Data Base Bule'!$A$4:$U$3622,11,0)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VLOOKUP(37,'Data Base Bule'!$A$4:$U$3622,5,0)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VLOOKUP(37,'Data Base Bule'!$A$4:$U$3622,6,0)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VLOOKUP(37,'Data Base Bule'!$A$4:$U$3620,7,0)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VLOOKUP(37,'Data Base Bule'!$A$4:$U$3622,12,0)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VLOOKUP(37,'Data Base Bule'!$A$4:$U$3622,13,0)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4B0F-1594-40CE-BB46-5C33B62C144E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VLOOKUP(38,'Data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VLOOKUP(38,'Data Base Bule'!$A$4:$U$3720,8,0)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VLOOKUP(38,'Data Base Bule'!$A$4:$U$3722,14,0)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VLOOKUP(38,'Data Base Bule'!$A$4:$U$3720,3,0)</f>
        <v>0</v>
      </c>
    </row>
    <row r="11" spans="1:2" ht="15" customHeight="1" x14ac:dyDescent="0.35">
      <c r="A11" s="143"/>
      <c r="B11" s="5">
        <f>VLOOKUP(38,'Data Base Bule'!$A$4:$U$3720,19,0)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VLOOKUP(38,'Data Base Bule'!$A$4:$U$3722,4,0)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VLOOKUP(38,'Data Base Bule'!$A$4:$U$3722,9,0)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VLOOKUP(38,'Data Base Bule'!$A$4:$U$3722,11,0)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VLOOKUP(38,'Data Base Bule'!$A$4:$U$3722,5,0)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VLOOKUP(38,'Data Base Bule'!$A$4:$U$3722,6,0)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VLOOKUP(38,'Data Base Bule'!$A$4:$U$3720,7,0)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VLOOKUP(38,'Data Base Bule'!$A$4:$U$3722,12,0)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VLOOKUP(38,'Data Base Bule'!$A$4:$U$3722,13,0)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082A-AF4A-4CCF-AB53-4E847C5439BF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VLOOKUP(39,'Data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VLOOKUP(39,'Data Base Bule'!$A$4:$U$3820,8,0)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VLOOKUP(39,'Data Base Bule'!$A$4:$U$3822,14,0)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VLOOKUP(39,'Data Base Bule'!$A$4:$U$3820,3,0)</f>
        <v>0</v>
      </c>
    </row>
    <row r="11" spans="1:2" ht="15" customHeight="1" x14ac:dyDescent="0.35">
      <c r="A11" s="143"/>
      <c r="B11" s="5">
        <f>VLOOKUP(39,'Data Base Bule'!$A$4:$U$3820,19,0)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VLOOKUP(39,'Data Base Bule'!$A$4:$U$3822,4,0)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VLOOKUP(39,'Data Base Bule'!$A$4:$U$3822,9,0)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VLOOKUP(39,'Data Base Bule'!$A$4:$U$3822,11,0)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VLOOKUP(39,'Data Base Bule'!$A$4:$U$3822,5,0)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VLOOKUP(39,'Data Base Bule'!$A$4:$U$3822,6,0)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VLOOKUP(39,'Data Base Bule'!$A$4:$U$3820,7,0)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VLOOKUP(39,'Data Base Bule'!$A$4:$U$3822,12,0)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VLOOKUP(39,'Data Base Bule'!$A$4:$U$3822,13,0)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6467-4202-4FD8-922D-C5FFE7801BB2}">
  <sheetPr>
    <pageSetUpPr fitToPage="1"/>
  </sheetPr>
  <dimension ref="A1:B43"/>
  <sheetViews>
    <sheetView view="pageBreakPreview" topLeftCell="A25" zoomScaleNormal="100" zoomScaleSheetLayoutView="100" workbookViewId="0">
      <selection activeCell="B59" sqref="B59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VLOOKUP(40,'Data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VLOOKUP(40,'Data Base Bule'!$A$4:$U$3920,8,0)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VLOOKUP(40,'Data Base Bule'!$A$4:$U$3922,14,0)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VLOOKUP(40,'Data Base Bule'!$A$4:$U$3920,3,0)</f>
        <v>0</v>
      </c>
    </row>
    <row r="11" spans="1:2" ht="15" customHeight="1" x14ac:dyDescent="0.35">
      <c r="A11" s="143"/>
      <c r="B11" s="5">
        <f>VLOOKUP(40,'Data Base Bule'!$A$4:$U$3920,19,0)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VLOOKUP(40,'Data Base Bule'!$A$4:$U$3922,4,0)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VLOOKUP(40,'Data Base Bule'!$A$4:$U$3922,9,0)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VLOOKUP(40,'Data Base Bule'!$A$4:$U$3922,11,0)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VLOOKUP(40,'Data Base Bule'!$A$4:$U$3922,5,0)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VLOOKUP(40,'Data Base Bule'!$A$4:$U$3922,6,0)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VLOOKUP(40,'Data Base Bule'!$A$4:$U$3920,7,0)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VLOOKUP(40,'Data Base Bule'!$A$4:$U$3922,12,0)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VLOOKUP(40,'Data Base Bule'!$A$4:$U$3922,13,0)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DC4D-420B-4FE2-B618-285EACF55DF3}">
  <sheetPr>
    <pageSetUpPr fitToPage="1"/>
  </sheetPr>
  <dimension ref="A1:B43"/>
  <sheetViews>
    <sheetView view="pageBreakPreview" topLeftCell="A25" zoomScaleNormal="100" zoomScaleSheetLayoutView="100" workbookViewId="0">
      <selection activeCell="B56" sqref="B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VLOOKUP(41,'Data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VLOOKUP(41,'Data Base Bule'!$A$4:$U$4020,8,0)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VLOOKUP(41,'Data Base Bule'!$A$4:$U$4022,14,0)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VLOOKUP(41,'Data Base Bule'!$A$4:$U$4020,3,0)</f>
        <v>0</v>
      </c>
    </row>
    <row r="11" spans="1:2" ht="15" customHeight="1" x14ac:dyDescent="0.35">
      <c r="A11" s="143"/>
      <c r="B11" s="5">
        <f>VLOOKUP(41,'Data Base Bule'!$A$4:$U$4020,19,0)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VLOOKUP(41,'Data Base Bule'!$A$4:$U$4022,4,0)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VLOOKUP(41,'Data Base Bule'!$A$4:$U$4022,9,0)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VLOOKUP(41,'Data Base Bule'!$A$4:$U$4022,11,0)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VLOOKUP(41,'Data Base Bule'!$A$4:$U$4022,5,0)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VLOOKUP(41,'Data Base Bule'!$A$4:$U$4022,6,0)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VLOOKUP(41,'Data Base Bule'!$A$4:$U$4020,7,0)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VLOOKUP(41,'Data Base Bule'!$A$4:$U$4022,12,0)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VLOOKUP(41,'Data Base Bule'!$A$4:$U$4022,13,0)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6D9A-EA15-4089-8330-6EA505E60A6C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VLOOKUP(42,'Data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VLOOKUP(42,'Data Base Bule'!$A$4:$U$4120,8,0)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VLOOKUP(42,'Data Base Bule'!$A$4:$U$4122,14,0)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VLOOKUP(42,'Data Base Bule'!$A$4:$U$4120,3,0)</f>
        <v>0</v>
      </c>
    </row>
    <row r="11" spans="1:2" ht="15" customHeight="1" x14ac:dyDescent="0.35">
      <c r="A11" s="143"/>
      <c r="B11" s="5">
        <f>VLOOKUP(42,'Data Base Bule'!$A$4:$U$4120,19,0)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VLOOKUP(42,'Data Base Bule'!$A$4:$U$4122,4,0)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VLOOKUP(42,'Data Base Bule'!$A$4:$U$4122,9,0)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VLOOKUP(42,'Data Base Bule'!$A$4:$U$4122,11,0)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VLOOKUP(42,'Data Base Bule'!$A$4:$U$4122,5,0)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VLOOKUP(42,'Data Base Bule'!$A$4:$U$4122,6,0)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VLOOKUP(42,'Data Base Bule'!$A$4:$U$4120,7,0)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VLOOKUP(42,'Data Base Bule'!$A$4:$U$4122,12,0)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VLOOKUP(42,'Data Base Bule'!$A$4:$U$4122,13,0)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5E4F-B820-438E-8AD6-18EF253011F2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VLOOKUP(43,'Data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VLOOKUP(43,'Data Base Bule'!$A$4:$U$4220,8,0)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VLOOKUP(43,'Data Base Bule'!$A$4:$U$4222,14,0)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VLOOKUP(43,'Data Base Bule'!$A$4:$U$4220,3,0)</f>
        <v>0</v>
      </c>
    </row>
    <row r="11" spans="1:2" ht="15" customHeight="1" x14ac:dyDescent="0.35">
      <c r="A11" s="143"/>
      <c r="B11" s="5">
        <f>VLOOKUP(43,'Data Base Bule'!$A$4:$U$4220,19,0)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VLOOKUP(43,'Data Base Bule'!$A$4:$U$4222,4,0)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VLOOKUP(43,'Data Base Bule'!$A$4:$U$4222,9,0)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VLOOKUP(43,'Data Base Bule'!$A$4:$U$4222,11,0)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VLOOKUP(43,'Data Base Bule'!$A$4:$U$4222,5,0)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VLOOKUP(43,'Data Base Bule'!$A$4:$U$4222,6,0)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VLOOKUP(43,'Data Base Bule'!$A$4:$U$4220,7,0)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VLOOKUP(43,'Data Base Bule'!$A$4:$U$4222,12,0)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VLOOKUP(43,'Data Base Bule'!$A$4:$U$4222,13,0)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BBCE-EB62-4CEB-AF07-D92004FA1EF5}">
  <sheetPr>
    <pageSetUpPr fitToPage="1"/>
  </sheetPr>
  <dimension ref="A1:B43"/>
  <sheetViews>
    <sheetView view="pageBreakPreview" topLeftCell="A25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VLOOKUP(44,'Data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VLOOKUP(44,'Data Base Bule'!$A$4:$U$4320,8,0)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VLOOKUP(44,'Data Base Bule'!$A$4:$U$4322,14,0)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VLOOKUP(44,'Data Base Bule'!$A$4:$U$4320,3,0)</f>
        <v>0</v>
      </c>
    </row>
    <row r="11" spans="1:2" ht="15" customHeight="1" x14ac:dyDescent="0.35">
      <c r="A11" s="143"/>
      <c r="B11" s="5">
        <f>VLOOKUP(44,'Data Base Bule'!$A$4:$U$4320,19,0)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VLOOKUP(44,'Data Base Bule'!$A$4:$U$4322,4,0)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VLOOKUP(44,'Data Base Bule'!$A$4:$U$4322,9,0)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VLOOKUP(44,'Data Base Bule'!$A$4:$U$4322,11,0)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VLOOKUP(44,'Data Base Bule'!$A$4:$U$4322,5,0)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VLOOKUP(44,'Data Base Bule'!$A$4:$U$4322,6,0)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VLOOKUP(44,'Data Base Bule'!$A$4:$U$4320,7,0)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VLOOKUP(44,'Data Base Bule'!$A$4:$U$4322,12,0)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VLOOKUP(44,'Data Base Bule'!$A$4:$U$4322,13,0)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1FD5-24E6-420B-9D22-AD5FEAC4302E}">
  <sheetPr>
    <pageSetUpPr fitToPage="1"/>
  </sheetPr>
  <dimension ref="A1:B43"/>
  <sheetViews>
    <sheetView view="pageBreakPreview" topLeftCell="A28" zoomScaleNormal="100" zoomScaleSheetLayoutView="100" workbookViewId="0">
      <selection activeCell="C56" sqref="C56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VLOOKUP(45,'Data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VLOOKUP(45,'Data Base Bule'!$A$4:$U$4420,8,0)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VLOOKUP(45,'Data Base Bule'!$A$4:$U$4422,14,0)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VLOOKUP(45,'Data Base Bule'!$A$4:$U$4420,3,0)</f>
        <v>0</v>
      </c>
    </row>
    <row r="11" spans="1:2" ht="15" customHeight="1" x14ac:dyDescent="0.35">
      <c r="A11" s="143"/>
      <c r="B11" s="5">
        <f>VLOOKUP(45,'Data Base Bule'!$A$4:$U$4420,19,0)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VLOOKUP(45,'Data Base Bule'!$A$4:$U$4422,4,0)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VLOOKUP(45,'Data Base Bule'!$A$4:$U$4422,9,0)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VLOOKUP(45,'Data Base Bule'!$A$4:$U$4422,11,0)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VLOOKUP(45,'Data Base Bule'!$A$4:$U$4422,5,0)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VLOOKUP(45,'Data Base Bule'!$A$4:$U$4422,6,0)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VLOOKUP(45,'Data Base Bule'!$A$4:$U$4420,7,0)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VLOOKUP(45,'Data Base Bule'!$A$4:$U$4422,12,0)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VLOOKUP(45,'Data Base Bule'!$A$4:$U$4422,13,0)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3D5E-93B2-4873-8865-FEABC9B87EB4}">
  <sheetPr>
    <pageSetUpPr fitToPage="1"/>
  </sheetPr>
  <dimension ref="A1:B43"/>
  <sheetViews>
    <sheetView view="pageBreakPreview" topLeftCell="B25" zoomScaleNormal="100" zoomScaleSheetLayoutView="100" workbookViewId="0">
      <selection activeCell="H58" sqref="H58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VLOOKUP(46,'Data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VLOOKUP(46,'Data Base Bule'!$A$4:$U$4520,8,0)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VLOOKUP(46,'Data Base Bule'!$A$4:$U$4522,14,0)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VLOOKUP(46,'Data Base Bule'!$A$4:$U$4520,3,0)</f>
        <v>0</v>
      </c>
    </row>
    <row r="11" spans="1:2" ht="15" customHeight="1" x14ac:dyDescent="0.35">
      <c r="A11" s="143"/>
      <c r="B11" s="5">
        <f>VLOOKUP(46,'Data Base Bule'!$A$4:$U$4520,19,0)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VLOOKUP(46,'Data Base Bule'!$A$4:$U$4522,4,0)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VLOOKUP(46,'Data Base Bule'!$A$4:$U$4522,9,0)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VLOOKUP(46,'Data Base Bule'!$A$4:$U$4522,11,0)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VLOOKUP(46,'Data Base Bule'!$A$4:$U$4522,5,0)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VLOOKUP(46,'Data Base Bule'!$A$4:$U$4522,6,0)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VLOOKUP(46,'Data Base Bule'!$A$4:$U$4520,7,0)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VLOOKUP(46,'Data Base Bule'!$A$4:$U$4522,12,0)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VLOOKUP(46,'Data Base Bule'!$A$4:$U$4522,13,0)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308D-802C-4028-B29E-BFE91D52CC88}">
  <sheetPr>
    <pageSetUpPr fitToPage="1"/>
  </sheetPr>
  <dimension ref="A1:B43"/>
  <sheetViews>
    <sheetView view="pageBreakPreview" topLeftCell="A10" zoomScaleNormal="100" zoomScaleSheetLayoutView="100" workbookViewId="0">
      <selection activeCell="D44" sqref="D44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VLOOKUP(47,'Data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VLOOKUP(47,'Data Base Bule'!$A$4:$U$4620,8,0)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VLOOKUP(47,'Data Base Bule'!$A$4:$U$4622,14,0)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VLOOKUP(47,'Data Base Bule'!$A$4:$U$4620,3,0)</f>
        <v>0</v>
      </c>
    </row>
    <row r="11" spans="1:2" ht="15" customHeight="1" x14ac:dyDescent="0.35">
      <c r="A11" s="143"/>
      <c r="B11" s="5">
        <f>VLOOKUP(47,'Data Base Bule'!$A$4:$U$4620,19,0)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VLOOKUP(47,'Data Base Bule'!$A$4:$U$4622,4,0)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VLOOKUP(47,'Data Base Bule'!$A$4:$U$4622,9,0)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VLOOKUP(47,'Data Base Bule'!$A$4:$U$4622,11,0)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VLOOKUP(47,'Data Base Bule'!$A$4:$U$4622,5,0)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VLOOKUP(47,'Data Base Bule'!$A$4:$U$4622,6,0)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VLOOKUP(47,'Data Base Bule'!$A$4:$U$4620,7,0)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VLOOKUP(47,'Data Base Bule'!$A$4:$U$4622,12,0)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VLOOKUP(47,'Data Base Bule'!$A$4:$U$4622,13,0)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5FA3-D76B-4453-8A4F-4BB5846FA807}">
  <sheetPr>
    <pageSetUpPr fitToPage="1"/>
  </sheetPr>
  <dimension ref="A1:B43"/>
  <sheetViews>
    <sheetView view="pageBreakPreview" zoomScaleNormal="100" zoomScaleSheetLayoutView="100" workbookViewId="0">
      <selection activeCell="B10" sqref="B10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VLOOKUP(48,'Data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VLOOKUP(48,'Data Base Bule'!$A$4:$U$4720,8,0)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VLOOKUP(48,'Data Base Bule'!$A$4:$U$4722,14,0)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VLOOKUP(48,'Data Base Bule'!$A$4:$U$4720,3,0)</f>
        <v>0</v>
      </c>
    </row>
    <row r="11" spans="1:2" ht="15" customHeight="1" x14ac:dyDescent="0.35">
      <c r="A11" s="143"/>
      <c r="B11" s="5">
        <f>VLOOKUP(48,'Data Base Bule'!$A$4:$U$4720,19,0)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VLOOKUP(48,'Data Base Bule'!$A$4:$U$4722,4,0)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VLOOKUP(48,'Data Base Bule'!$A$4:$U$4722,9,0)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VLOOKUP(48,'Data Base Bule'!$A$4:$U$4722,11,0)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VLOOKUP(48,'Data Base Bule'!$A$4:$U$4722,5,0)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VLOOKUP(48,'Data Base Bule'!$A$4:$U$4722,6,0)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VLOOKUP(48,'Data Base Bule'!$A$4:$U$4720,7,0)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VLOOKUP(48,'Data Base Bule'!$A$4:$U$4722,12,0)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VLOOKUP(48,'Data Base Bule'!$A$4:$U$4722,13,0)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256E-F239-4C2C-A251-A7C38A33DA03}">
  <sheetPr>
    <pageSetUpPr fitToPage="1"/>
  </sheetPr>
  <dimension ref="A1:B43"/>
  <sheetViews>
    <sheetView view="pageBreakPreview" zoomScaleNormal="100" zoomScaleSheetLayoutView="100" workbookViewId="0">
      <selection activeCell="B39" sqref="B39:B40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VLOOKUP(49,'Data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VLOOKUP(49,'Data Base Bule'!$A$4:$U$4820,8,0)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VLOOKUP(49,'Data Base Bule'!$A$4:$U$4822,14,0)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VLOOKUP(49,'Data Base Bule'!$A$4:$U$4820,3,0)</f>
        <v>0</v>
      </c>
    </row>
    <row r="11" spans="1:2" ht="15" customHeight="1" x14ac:dyDescent="0.35">
      <c r="A11" s="143"/>
      <c r="B11" s="5">
        <f>VLOOKUP(49,'Data Base Bule'!$A$4:$U$4820,19,0)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VLOOKUP(49,'Data Base Bule'!$A$4:$U$4822,4,0)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VLOOKUP(49,'Data Base Bule'!$A$4:$U$4822,9,0)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VLOOKUP(49,'Data Base Bule'!$A$4:$U$4822,11,0)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VLOOKUP(49,'Data Base Bule'!$A$4:$U$4822,5,0)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VLOOKUP(49,'Data Base Bule'!$A$4:$U$4822,6,0)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VLOOKUP(49,'Data Base Bule'!$A$4:$U$4820,7,0)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VLOOKUP(49,'Data Base Bule'!$A$4:$U$4822,12,0)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VLOOKUP(49,'Data Base Bule'!$A$4:$U$4822,13,0)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8896-0F74-4442-B20E-85DB904EB8CE}">
  <sheetPr>
    <pageSetUpPr fitToPage="1"/>
  </sheetPr>
  <dimension ref="A1:B43"/>
  <sheetViews>
    <sheetView view="pageBreakPreview" topLeftCell="A25" zoomScaleNormal="100" zoomScaleSheetLayoutView="100" workbookViewId="0">
      <selection activeCell="E53" sqref="E53"/>
    </sheetView>
  </sheetViews>
  <sheetFormatPr defaultRowHeight="14.5" x14ac:dyDescent="0.35"/>
  <cols>
    <col min="1" max="1" width="33" customWidth="1"/>
    <col min="2" max="2" width="74" customWidth="1"/>
  </cols>
  <sheetData>
    <row r="1" spans="1:2" ht="18" x14ac:dyDescent="0.35">
      <c r="A1" s="139" t="s">
        <v>18</v>
      </c>
      <c r="B1" s="139"/>
    </row>
    <row r="3" spans="1:2" ht="15.5" x14ac:dyDescent="0.35">
      <c r="A3" s="157" t="s">
        <v>19</v>
      </c>
      <c r="B3" s="157"/>
    </row>
    <row r="4" spans="1:2" ht="15" customHeight="1" x14ac:dyDescent="0.35">
      <c r="A4" s="1" t="s">
        <v>20</v>
      </c>
      <c r="B4" s="156">
        <f>VLOOKUP(50,'Data Base Bule'!$A$4:$U$117,2,0)</f>
        <v>0</v>
      </c>
    </row>
    <row r="5" spans="1:2" ht="15" customHeight="1" x14ac:dyDescent="0.35">
      <c r="A5" s="1" t="s">
        <v>21</v>
      </c>
      <c r="B5" s="156"/>
    </row>
    <row r="6" spans="1:2" ht="15" customHeight="1" x14ac:dyDescent="0.35">
      <c r="A6" s="2" t="s">
        <v>22</v>
      </c>
      <c r="B6" s="142">
        <f>VLOOKUP(50,'Data Base Bule'!$A$4:$U$4920,8,0)</f>
        <v>0</v>
      </c>
    </row>
    <row r="7" spans="1:2" ht="15" customHeight="1" x14ac:dyDescent="0.35">
      <c r="A7" s="2" t="s">
        <v>23</v>
      </c>
      <c r="B7" s="142"/>
    </row>
    <row r="8" spans="1:2" ht="15" customHeight="1" x14ac:dyDescent="0.35">
      <c r="A8" s="3" t="s">
        <v>24</v>
      </c>
      <c r="B8" s="142">
        <f>VLOOKUP(50,'Data Base Bule'!$A$4:$U$4922,14,0)</f>
        <v>0</v>
      </c>
    </row>
    <row r="9" spans="1:2" ht="15" customHeight="1" x14ac:dyDescent="0.35">
      <c r="A9" s="4" t="s">
        <v>25</v>
      </c>
      <c r="B9" s="142"/>
    </row>
    <row r="10" spans="1:2" ht="15" customHeight="1" x14ac:dyDescent="0.35">
      <c r="A10" s="143" t="s">
        <v>26</v>
      </c>
      <c r="B10" s="5">
        <f>VLOOKUP(50,'Data Base Bule'!$A$4:$U$4920,3,0)</f>
        <v>0</v>
      </c>
    </row>
    <row r="11" spans="1:2" ht="15" customHeight="1" x14ac:dyDescent="0.35">
      <c r="A11" s="143"/>
      <c r="B11" s="5">
        <f>VLOOKUP(50,'Data Base Bule'!$A$4:$U$4920,19,0)</f>
        <v>0</v>
      </c>
    </row>
    <row r="12" spans="1:2" ht="15" customHeight="1" x14ac:dyDescent="0.35">
      <c r="A12" s="144"/>
      <c r="B12" s="145"/>
    </row>
    <row r="13" spans="1:2" ht="15" customHeight="1" x14ac:dyDescent="0.35">
      <c r="A13" s="3" t="s">
        <v>27</v>
      </c>
      <c r="B13" s="142">
        <f>VLOOKUP(50,'Data Base Bule'!$A$4:$U$4922,4,0)</f>
        <v>0</v>
      </c>
    </row>
    <row r="14" spans="1:2" ht="15" customHeight="1" x14ac:dyDescent="0.35">
      <c r="A14" s="4" t="s">
        <v>28</v>
      </c>
      <c r="B14" s="142"/>
    </row>
    <row r="15" spans="1:2" ht="15" customHeight="1" x14ac:dyDescent="0.35">
      <c r="A15" s="3" t="s">
        <v>29</v>
      </c>
      <c r="B15" s="142">
        <f>VLOOKUP(50,'Data Base Bule'!$A$4:$U$4922,9,0)</f>
        <v>0</v>
      </c>
    </row>
    <row r="16" spans="1:2" ht="15" customHeight="1" x14ac:dyDescent="0.35">
      <c r="A16" s="4" t="s">
        <v>30</v>
      </c>
      <c r="B16" s="142"/>
    </row>
    <row r="17" spans="1:2" ht="15" customHeight="1" x14ac:dyDescent="0.35">
      <c r="A17" s="2" t="s">
        <v>31</v>
      </c>
      <c r="B17" s="142">
        <f>VLOOKUP(50,'Data Base Bule'!$A$4:$U$4922,11,0)</f>
        <v>0</v>
      </c>
    </row>
    <row r="18" spans="1:2" ht="17.25" customHeight="1" x14ac:dyDescent="0.35">
      <c r="A18" s="2" t="s">
        <v>32</v>
      </c>
      <c r="B18" s="142"/>
    </row>
    <row r="19" spans="1:2" ht="15" customHeight="1" x14ac:dyDescent="0.35">
      <c r="A19" s="3" t="s">
        <v>33</v>
      </c>
      <c r="B19" s="142">
        <f>VLOOKUP(50,'Data Base Bule'!$A$4:$U$4922,5,0)</f>
        <v>0</v>
      </c>
    </row>
    <row r="20" spans="1:2" ht="15" customHeight="1" x14ac:dyDescent="0.35">
      <c r="A20" s="6" t="s">
        <v>34</v>
      </c>
      <c r="B20" s="142"/>
    </row>
    <row r="21" spans="1:2" ht="15" customHeight="1" x14ac:dyDescent="0.35">
      <c r="A21" s="137"/>
      <c r="B21" s="138"/>
    </row>
    <row r="22" spans="1:2" ht="15" customHeight="1" x14ac:dyDescent="0.35">
      <c r="A22" s="3" t="s">
        <v>35</v>
      </c>
      <c r="B22" s="142">
        <f>VLOOKUP(50,'Data Base Bule'!$A$4:$U$4922,6,0)</f>
        <v>0</v>
      </c>
    </row>
    <row r="23" spans="1:2" ht="15" customHeight="1" x14ac:dyDescent="0.35">
      <c r="A23" s="4" t="s">
        <v>36</v>
      </c>
      <c r="B23" s="142"/>
    </row>
    <row r="24" spans="1:2" ht="15" customHeight="1" x14ac:dyDescent="0.35">
      <c r="A24" s="2" t="s">
        <v>37</v>
      </c>
      <c r="B24" s="5">
        <f>VLOOKUP(50,'Data Base Bule'!$A$4:$U$4920,7,0)</f>
        <v>0</v>
      </c>
    </row>
    <row r="25" spans="1:2" ht="15" customHeight="1" x14ac:dyDescent="0.35">
      <c r="A25" s="2" t="s">
        <v>38</v>
      </c>
      <c r="B25" s="14"/>
    </row>
    <row r="26" spans="1:2" ht="15" customHeight="1" x14ac:dyDescent="0.35">
      <c r="A26" s="2"/>
      <c r="B26" s="15"/>
    </row>
    <row r="27" spans="1:2" ht="15" customHeight="1" x14ac:dyDescent="0.35">
      <c r="A27" s="3" t="s">
        <v>39</v>
      </c>
      <c r="B27" s="142">
        <f>VLOOKUP(50,'Data Base Bule'!$A$4:$U$4922,12,0)</f>
        <v>0</v>
      </c>
    </row>
    <row r="28" spans="1:2" ht="15" customHeight="1" x14ac:dyDescent="0.35">
      <c r="A28" s="4" t="s">
        <v>40</v>
      </c>
      <c r="B28" s="142"/>
    </row>
    <row r="29" spans="1:2" ht="15" customHeight="1" x14ac:dyDescent="0.35">
      <c r="A29" s="2" t="s">
        <v>41</v>
      </c>
      <c r="B29" s="7"/>
    </row>
    <row r="30" spans="1:2" ht="15" customHeight="1" x14ac:dyDescent="0.35">
      <c r="A30" s="144"/>
      <c r="B30" s="145"/>
    </row>
    <row r="31" spans="1:2" ht="15" customHeight="1" x14ac:dyDescent="0.35">
      <c r="A31" s="8" t="s">
        <v>42</v>
      </c>
      <c r="B31" s="146"/>
    </row>
    <row r="32" spans="1:2" ht="15" customHeight="1" x14ac:dyDescent="0.35">
      <c r="A32" s="9" t="s">
        <v>43</v>
      </c>
      <c r="B32" s="146"/>
    </row>
    <row r="33" spans="1:2" ht="15" customHeight="1" x14ac:dyDescent="0.35">
      <c r="A33" s="8" t="s">
        <v>37</v>
      </c>
      <c r="B33" s="147"/>
    </row>
    <row r="34" spans="1:2" ht="15" customHeight="1" x14ac:dyDescent="0.35">
      <c r="A34" s="9" t="s">
        <v>44</v>
      </c>
      <c r="B34" s="148"/>
    </row>
    <row r="35" spans="1:2" ht="15" customHeight="1" x14ac:dyDescent="0.35">
      <c r="A35" s="8" t="s">
        <v>45</v>
      </c>
      <c r="B35" s="146"/>
    </row>
    <row r="36" spans="1:2" ht="15" customHeight="1" x14ac:dyDescent="0.35">
      <c r="A36" s="9" t="s">
        <v>46</v>
      </c>
      <c r="B36" s="146"/>
    </row>
    <row r="37" spans="1:2" ht="15" customHeight="1" x14ac:dyDescent="0.35">
      <c r="A37" s="11" t="s">
        <v>47</v>
      </c>
      <c r="B37" s="147"/>
    </row>
    <row r="38" spans="1:2" ht="15" customHeight="1" x14ac:dyDescent="0.35">
      <c r="A38" s="12" t="s">
        <v>48</v>
      </c>
      <c r="B38" s="148"/>
    </row>
    <row r="39" spans="1:2" ht="15" customHeight="1" x14ac:dyDescent="0.35">
      <c r="A39" s="8" t="s">
        <v>49</v>
      </c>
      <c r="B39" s="142">
        <f>VLOOKUP(50,'Data Base Bule'!$A$4:$U$4922,13,0)</f>
        <v>0</v>
      </c>
    </row>
    <row r="40" spans="1:2" ht="15" customHeight="1" x14ac:dyDescent="0.35">
      <c r="A40" s="13" t="s">
        <v>50</v>
      </c>
      <c r="B40" s="142"/>
    </row>
    <row r="41" spans="1:2" ht="15" customHeight="1" x14ac:dyDescent="0.35">
      <c r="A41" s="9" t="s">
        <v>51</v>
      </c>
      <c r="B41" s="9"/>
    </row>
    <row r="42" spans="1:2" ht="15" customHeight="1" x14ac:dyDescent="0.35">
      <c r="A42" s="10" t="s">
        <v>52</v>
      </c>
      <c r="B42" s="10" t="s">
        <v>53</v>
      </c>
    </row>
    <row r="43" spans="1:2" ht="15" customHeight="1" x14ac:dyDescent="0.35">
      <c r="A43" s="152"/>
      <c r="B43" s="153"/>
    </row>
  </sheetData>
  <mergeCells count="21">
    <mergeCell ref="A21:B21"/>
    <mergeCell ref="A1:B1"/>
    <mergeCell ref="A3:B3"/>
    <mergeCell ref="B4:B5"/>
    <mergeCell ref="B6:B7"/>
    <mergeCell ref="B8:B9"/>
    <mergeCell ref="A10:A11"/>
    <mergeCell ref="A12:B12"/>
    <mergeCell ref="B13:B14"/>
    <mergeCell ref="B15:B16"/>
    <mergeCell ref="B17:B18"/>
    <mergeCell ref="B19:B20"/>
    <mergeCell ref="B37:B38"/>
    <mergeCell ref="B39:B40"/>
    <mergeCell ref="A43:B43"/>
    <mergeCell ref="B22:B23"/>
    <mergeCell ref="B27:B28"/>
    <mergeCell ref="A30:B30"/>
    <mergeCell ref="B31:B32"/>
    <mergeCell ref="B33:B34"/>
    <mergeCell ref="B35:B36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Data KE BRI</vt:lpstr>
      <vt:lpstr>Data Base Bule</vt:lpstr>
      <vt:lpstr>INV.1</vt:lpstr>
      <vt:lpstr>INV.2</vt:lpstr>
      <vt:lpstr>INV.3</vt:lpstr>
      <vt:lpstr>INV.4</vt:lpstr>
      <vt:lpstr>INV.5</vt:lpstr>
      <vt:lpstr>INV.6</vt:lpstr>
      <vt:lpstr>INV.7</vt:lpstr>
      <vt:lpstr>INV.8</vt:lpstr>
      <vt:lpstr>INV.9</vt:lpstr>
      <vt:lpstr>INV.10</vt:lpstr>
      <vt:lpstr>INV.11</vt:lpstr>
      <vt:lpstr>INV.12</vt:lpstr>
      <vt:lpstr>INV.13</vt:lpstr>
      <vt:lpstr>INV.14</vt:lpstr>
      <vt:lpstr>INV.15</vt:lpstr>
      <vt:lpstr>INV.16</vt:lpstr>
      <vt:lpstr>INV.17</vt:lpstr>
      <vt:lpstr>INV.18</vt:lpstr>
      <vt:lpstr>INV.19</vt:lpstr>
      <vt:lpstr>INV.20</vt:lpstr>
      <vt:lpstr>INV.21</vt:lpstr>
      <vt:lpstr>INV.22</vt:lpstr>
      <vt:lpstr>INV.23</vt:lpstr>
      <vt:lpstr>INV.24</vt:lpstr>
      <vt:lpstr>INV.25</vt:lpstr>
      <vt:lpstr>INV.26</vt:lpstr>
      <vt:lpstr>INV.27</vt:lpstr>
      <vt:lpstr>INV.28</vt:lpstr>
      <vt:lpstr>INV.29</vt:lpstr>
      <vt:lpstr>INV.30</vt:lpstr>
      <vt:lpstr>INV.31</vt:lpstr>
      <vt:lpstr>INV.32</vt:lpstr>
      <vt:lpstr>INV.33</vt:lpstr>
      <vt:lpstr>INV.34</vt:lpstr>
      <vt:lpstr>INV.35</vt:lpstr>
      <vt:lpstr>INV.36</vt:lpstr>
      <vt:lpstr>INV.37</vt:lpstr>
      <vt:lpstr>INV.38</vt:lpstr>
      <vt:lpstr>INV.39</vt:lpstr>
      <vt:lpstr>INV.40</vt:lpstr>
      <vt:lpstr>INV.41</vt:lpstr>
      <vt:lpstr>INV.42</vt:lpstr>
      <vt:lpstr>INV.43</vt:lpstr>
      <vt:lpstr>INV.44</vt:lpstr>
      <vt:lpstr>INV.45</vt:lpstr>
      <vt:lpstr>INV.46</vt:lpstr>
      <vt:lpstr>INV.47</vt:lpstr>
      <vt:lpstr>INV.48</vt:lpstr>
      <vt:lpstr>INV.49</vt:lpstr>
      <vt:lpstr>INV.50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dealinggemameraki@outlook.com</dc:creator>
  <cp:lastModifiedBy>DELL</cp:lastModifiedBy>
  <cp:lastPrinted>2026-04-29T08:29:20Z</cp:lastPrinted>
  <dcterms:created xsi:type="dcterms:W3CDTF">2024-08-23T07:36:45Z</dcterms:created>
  <dcterms:modified xsi:type="dcterms:W3CDTF">2026-07-01T06:18:54Z</dcterms:modified>
</cp:coreProperties>
</file>